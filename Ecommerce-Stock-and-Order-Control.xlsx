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40360bdcf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5cf5b0f6ef54767"/>
    <x:sheet xmlns:r="http://schemas.openxmlformats.org/officeDocument/2006/relationships" name="Products" sheetId="2" r:id="R335e01f48c644ee8"/>
    <x:sheet xmlns:r="http://schemas.openxmlformats.org/officeDocument/2006/relationships" name="Orders" sheetId="3" r:id="R1d1a0e5a0349411a"/>
    <x:sheet xmlns:r="http://schemas.openxmlformats.org/officeDocument/2006/relationships" name="Exception Log" sheetId="4" r:id="R3b8854882bb9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£&quot;#,##0.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22"/>
      <x:color rgb="FF1F2937"/>
      <x:name val="Carlito"/>
    </x:font>
    <x:font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3">
    <x:border/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9D2DC"/>
      </x:bottom>
    </x:border>
    <x:border>
      <x:left style="thin">
        <x:color rgb="FFC9D2DC"/>
      </x:left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top style="thin">
        <x:color rgb="FFC9D2DC"/>
      </x:top>
    </x:border>
    <x:border>
      <x:bottom style="thin">
        <x:color rgb="FFC9D2DC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horizontal="right" vertical="center"/>
    </x:xf>
    <x:xf numFmtId="0" fontId="4" fillId="0" borderId="4" xfId="0" applyNumberFormat="1" applyFont="1" applyFill="1" applyBorder="1" applyAlignment="1">
      <x:alignment horizontal="right" vertical="center"/>
    </x:xf>
    <x:xf numFmtId="0" fontId="4" fillId="5" borderId="5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5" borderId="6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horizontal="right"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201" fontId="3" fillId="4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7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5" fillId="6" borderId="9" xfId="0" applyNumberFormat="1" applyFont="1" applyFill="1" applyBorder="1" applyAlignment="1">
      <x:alignment horizontal="center" vertic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7" xfId="0" applyNumberFormat="1" applyFont="1" applyFill="1" applyBorder="1" applyAlignment="1">
      <x:alignment horizontal="center"/>
    </x:xf>
    <x:xf numFmtId="0" fontId="5" fillId="7" borderId="8" xfId="0" applyNumberFormat="1" applyFont="1" applyFill="1" applyBorder="1" applyAlignment="1">
      <x:alignment horizontal="center"/>
    </x:xf>
    <x:xf numFmtId="0" fontId="5" fillId="7" borderId="9" xfId="0" applyNumberFormat="1" applyFont="1" applyFill="1" applyBorder="1" applyAlignment="1">
      <x:alignment horizontal="center"/>
    </x:xf>
    <x:xf numFmtId="0" fontId="5" fillId="7" borderId="10" xfId="0" applyNumberFormat="1" applyFont="1" applyFill="1" applyBorder="1" applyAlignment="1">
      <x:alignment horizontal="center"/>
    </x:xf>
    <x:xf numFmtId="0" fontId="5" fillId="7" borderId="7" xfId="0" applyNumberFormat="1" applyFont="1" applyFill="1" applyBorder="1" applyAlignment="1">
      <x:alignment horizontal="center" vertical="center"/>
    </x:xf>
    <x:xf numFmtId="0" fontId="5" fillId="7" borderId="8" xfId="0" applyNumberFormat="1" applyFont="1" applyFill="1" applyBorder="1" applyAlignment="1">
      <x:alignment horizontal="center" vertical="center"/>
    </x:xf>
    <x:xf numFmtId="0" fontId="5" fillId="7" borderId="9" xfId="0" applyNumberFormat="1" applyFont="1" applyFill="1" applyBorder="1" applyAlignment="1">
      <x:alignment horizontal="center" vertical="center"/>
    </x:xf>
    <x:xf numFmtId="0" fontId="5" fillId="7" borderId="1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7" xfId="0" applyNumberFormat="1" applyFont="1" applyFill="1" applyBorder="1" applyAlignment="1">
      <x:alignment horizontal="center"/>
    </x:xf>
    <x:xf numFmtId="0" fontId="5" fillId="8" borderId="8" xfId="0" applyNumberFormat="1" applyFont="1" applyFill="1" applyBorder="1" applyAlignment="1">
      <x:alignment horizontal="center"/>
    </x:xf>
    <x:xf numFmtId="0" fontId="5" fillId="8" borderId="9" xfId="0" applyNumberFormat="1" applyFont="1" applyFill="1" applyBorder="1" applyAlignment="1">
      <x:alignment horizontal="center"/>
    </x:xf>
    <x:xf numFmtId="0" fontId="5" fillId="8" borderId="10" xfId="0" applyNumberFormat="1" applyFont="1" applyFill="1" applyBorder="1" applyAlignment="1">
      <x:alignment horizontal="center"/>
    </x:xf>
    <x:xf numFmtId="0" fontId="5" fillId="8" borderId="7" xfId="0" applyNumberFormat="1" applyFont="1" applyFill="1" applyBorder="1" applyAlignment="1">
      <x:alignment horizontal="center" vertical="center"/>
    </x:xf>
    <x:xf numFmtId="0" fontId="5" fillId="8" borderId="8" xfId="0" applyNumberFormat="1" applyFont="1" applyFill="1" applyBorder="1" applyAlignment="1">
      <x:alignment horizontal="center" vertical="center"/>
    </x:xf>
    <x:xf numFmtId="0" fontId="5" fillId="8" borderId="9" xfId="0" applyNumberFormat="1" applyFont="1" applyFill="1" applyBorder="1" applyAlignment="1">
      <x:alignment horizontal="center" vertical="center"/>
    </x:xf>
    <x:xf numFmtId="0" fontId="5" fillId="8" borderId="1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7" xfId="0" applyNumberFormat="1" applyFont="1" applyFill="1" applyBorder="1"/>
    <x:xf numFmtId="0" fontId="2" fillId="9" borderId="11" xfId="0" applyNumberFormat="1" applyFont="1" applyFill="1" applyBorder="1"/>
    <x:xf numFmtId="0" fontId="2" fillId="9" borderId="8" xfId="0" applyNumberFormat="1" applyFont="1" applyFill="1" applyBorder="1"/>
    <x:xf numFmtId="0" fontId="2" fillId="9" borderId="9" xfId="0" applyNumberFormat="1" applyFont="1" applyFill="1" applyBorder="1"/>
    <x:xf numFmtId="0" fontId="2" fillId="9" borderId="12" xfId="0" applyNumberFormat="1" applyFont="1" applyFill="1" applyBorder="1"/>
    <x:xf numFmtId="0" fontId="2" fillId="9" borderId="10" xfId="0" applyNumberFormat="1" applyFont="1" applyFill="1" applyBorder="1"/>
    <x:xf numFmtId="0" fontId="2" fillId="9" borderId="7" xfId="0" applyNumberFormat="1" applyFont="1" applyFill="1" applyBorder="1" applyAlignment="1">
      <x:alignment wrapText="1"/>
    </x:xf>
    <x:xf numFmtId="0" fontId="2" fillId="9" borderId="11" xfId="0" applyNumberFormat="1" applyFont="1" applyFill="1" applyBorder="1" applyAlignment="1">
      <x:alignment wrapText="1"/>
    </x:xf>
    <x:xf numFmtId="0" fontId="2" fillId="9" borderId="8" xfId="0" applyNumberFormat="1" applyFont="1" applyFill="1" applyBorder="1" applyAlignment="1">
      <x:alignment wrapText="1"/>
    </x:xf>
    <x:xf numFmtId="0" fontId="2" fillId="9" borderId="9" xfId="0" applyNumberFormat="1" applyFont="1" applyFill="1" applyBorder="1" applyAlignment="1">
      <x:alignment wrapText="1"/>
    </x:xf>
    <x:xf numFmtId="0" fontId="2" fillId="9" borderId="12" xfId="0" applyNumberFormat="1" applyFont="1" applyFill="1" applyBorder="1" applyAlignment="1">
      <x:alignment wrapText="1"/>
    </x:xf>
    <x:xf numFmtId="0" fontId="2" fillId="9" borderId="10" xfId="0" applyNumberFormat="1" applyFont="1" applyFill="1" applyBorder="1" applyAlignment="1">
      <x:alignment wrapText="1"/>
    </x:xf>
    <x:xf numFmtId="0" fontId="2" fillId="9" borderId="7" xfId="0" applyNumberFormat="1" applyFont="1" applyFill="1" applyBorder="1" applyAlignment="1">
      <x:alignment vertical="center" wrapText="1"/>
    </x:xf>
    <x:xf numFmtId="0" fontId="2" fillId="9" borderId="11" xfId="0" applyNumberFormat="1" applyFont="1" applyFill="1" applyBorder="1" applyAlignment="1">
      <x:alignment vertical="center" wrapText="1"/>
    </x:xf>
    <x:xf numFmtId="0" fontId="2" fillId="9" borderId="8" xfId="0" applyNumberFormat="1" applyFont="1" applyFill="1" applyBorder="1" applyAlignment="1">
      <x:alignment vertical="center" wrapText="1"/>
    </x:xf>
    <x:xf numFmtId="0" fontId="2" fillId="9" borderId="9" xfId="0" applyNumberFormat="1" applyFont="1" applyFill="1" applyBorder="1" applyAlignment="1">
      <x:alignment vertical="center" wrapText="1"/>
    </x:xf>
    <x:xf numFmtId="0" fontId="2" fillId="9" borderId="12" xfId="0" applyNumberFormat="1" applyFont="1" applyFill="1" applyBorder="1" applyAlignment="1">
      <x:alignment vertical="center" wrapText="1"/>
    </x:xf>
    <x:xf numFmtId="0" fontId="2" fillId="9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6bd9fe8b94679" /><Relationship Type="http://schemas.openxmlformats.org/officeDocument/2006/relationships/theme" Target="/xl/theme/theme1.xml" Id="R07f67a8ed0f849b5" /><Relationship Type="http://schemas.openxmlformats.org/officeDocument/2006/relationships/sharedStrings" Target="/xl/sharedStrings.xml" Id="Ra9d3e9564d714bbf" /><Relationship Type="http://schemas.openxmlformats.org/officeDocument/2006/relationships/worksheet" Target="/xl/worksheets/sheet1.xml" Id="R85cf5b0f6ef54767" /><Relationship Type="http://schemas.openxmlformats.org/officeDocument/2006/relationships/worksheet" Target="/xl/worksheets/sheet2.xml" Id="R335e01f48c644ee8" /><Relationship Type="http://schemas.openxmlformats.org/officeDocument/2006/relationships/worksheet" Target="/xl/worksheets/sheet3.xml" Id="R1d1a0e5a0349411a" /><Relationship Type="http://schemas.openxmlformats.org/officeDocument/2006/relationships/worksheet" Target="/xl/worksheets/sheet4.xml" Id="R3b8854882bb94b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52ba6de31840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Weekly value of clean order records (£)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Clean value</c:v>
          </c:tx>
          <c:marker>
            <c:symbol val="none"/>
          </c:marker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"£"#,##0.00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52ba6de31840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sTable" displayName="ProductsTable" ref="A4:M44" headerRowCount="1" totalsRowCount="0" totalsRowShown="0">
  <x:tableColumns count="13">
    <x:tableColumn id="1" name="SKU"/>
    <x:tableColumn id="2" name="Product"/>
    <x:tableColumn id="3" name="Category"/>
    <x:tableColumn id="4" name="Reorder Level"/>
    <x:tableColumn id="5" name="Opening Stock"/>
    <x:tableColumn id="6" name="Deliveries"/>
    <x:tableColumn id="7" name="Fulfilled Units"/>
    <x:tableColumn id="8" name="Expected Closing"/>
    <x:tableColumn id="9" name="System Stock"/>
    <x:tableColumn id="10" name="Variance"/>
    <x:tableColumn id="11" name="Stock Status"/>
    <x:tableColumn id="12" name="Clean Orders"/>
    <x:tableColumn id="13" name="Unit Pri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sTable" displayName="OrdersTable" ref="A4:L104" headerRowCount="1" totalsRowCount="0" totalsRowShown="0">
  <x:tableColumns count="12">
    <x:tableColumn id="1" name="Order ID"/>
    <x:tableColumn id="2" name="Order Date"/>
    <x:tableColumn id="3" name="SKU"/>
    <x:tableColumn id="4" name="Quantity"/>
    <x:tableColumn id="5" name="Unit Price"/>
    <x:tableColumn id="6" name="Region"/>
    <x:tableColumn id="7" name="Status"/>
    <x:tableColumn id="8" name="ID Count"/>
    <x:tableColumn id="9" name="SKU Match"/>
    <x:tableColumn id="10" name="Line Value"/>
    <x:tableColumn id="11" name="Required Fields"/>
    <x:tableColumn id="12" name="Record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eptionsTable" displayName="ExceptionsTable" ref="A9:E19" headerRowCount="1" totalsRowCount="0" totalsRowShown="0">
  <x:tableColumns count="5">
    <x:tableColumn id="1" name="Source"/>
    <x:tableColumn id="2" name="Record"/>
    <x:tableColumn id="3" name="Issue"/>
    <x:tableColumn id="4" name="Variance / Value"/>
    <x:tableColumn id="5" name="Recommended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d1a76befdc48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18a93d8ab04d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09f049054d43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4ca6f5205c4c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3" hidden="0" customWidth="1"/>
    <x:col min="4" max="4" width="22" hidden="0" customWidth="1"/>
    <x:col min="5" max="5" width="15" hidden="0" customWidth="1"/>
    <x:col min="6" max="6" width="26" hidden="0" customWidth="1"/>
    <x:col min="7" max="7" width="15" hidden="0" customWidth="1"/>
    <x:col min="8" max="8" width="15" hidden="0" customWidth="1"/>
  </x:cols>
  <x:sheetData>
    <x:row r="1" ht="34" customHeight="1">
      <x:c r="A1" s="4" t="str">
        <x:v>Ecommerce Stock and Order Control Dashboard</x:v>
      </x:c>
      <x:c r="B1" s="4" t="str">
        <x:v>Ecommerce Stock and Order Control Dashboard</x:v>
      </x:c>
      <x:c r="C1" s="4" t="str">
        <x:v>Ecommerce Stock and Order Control Dashboard</x:v>
      </x:c>
      <x:c r="D1" s="4" t="str">
        <x:v>Ecommerce Stock and Order Control Dashboard</x:v>
      </x:c>
      <x:c r="E1" s="4" t="str">
        <x:v>Ecommerce Stock and Order Control Dashboard</x:v>
      </x:c>
      <x:c r="F1" s="4" t="str">
        <x:v>Ecommerce Stock and Order Control Dashboard</x:v>
      </x:c>
      <x:c r="G1" s="4" t="str">
        <x:v>Ecommerce Stock and Order Control Dashboard</x:v>
      </x:c>
      <x:c r="H1" s="4" t="str">
        <x:v>Ecommerce Stock and Order Control Dashboard</x:v>
      </x:c>
    </x:row>
    <x:row r="2" ht="34" customHeight="1">
      <x:c r="A2" s="4" t="str">
        <x:v>Ecommerce Stock and Order Control Dashboard</x:v>
      </x:c>
      <x:c r="B2" s="4" t="str">
        <x:v>Ecommerce Stock and Order Control Dashboard</x:v>
      </x:c>
      <x:c r="C2" s="4" t="str">
        <x:v>Ecommerce Stock and Order Control Dashboard</x:v>
      </x:c>
      <x:c r="D2" s="4" t="str">
        <x:v>Ecommerce Stock and Order Control Dashboard</x:v>
      </x:c>
      <x:c r="E2" s="4" t="str">
        <x:v>Ecommerce Stock and Order Control Dashboard</x:v>
      </x:c>
      <x:c r="F2" s="4" t="str">
        <x:v>Ecommerce Stock and Order Control Dashboard</x:v>
      </x:c>
      <x:c r="G2" s="4" t="str">
        <x:v>Ecommerce Stock and Order Control Dashboard</x:v>
      </x:c>
      <x:c r="H2" s="4" t="str">
        <x:v>Ecommerce Stock and Order Control Dashboard</x:v>
      </x:c>
    </x:row>
    <x:row r="3">
      <x:c r="A3" s="51" t="str">
        <x:v>Synthetic portfolio project | formula-driven daily control report | 28-day reporting period</x:v>
      </x:c>
      <x:c r="B3" s="51" t="str">
        <x:v>Synthetic portfolio project | formula-driven daily control report | 28-day reporting period</x:v>
      </x:c>
      <x:c r="C3" s="51" t="str">
        <x:v>Synthetic portfolio project | formula-driven daily control report | 28-day reporting period</x:v>
      </x:c>
      <x:c r="D3" s="51" t="str">
        <x:v>Synthetic portfolio project | formula-driven daily control report | 28-day reporting period</x:v>
      </x:c>
      <x:c r="E3" s="51" t="str">
        <x:v>Synthetic portfolio project | formula-driven daily control report | 28-day reporting period</x:v>
      </x:c>
      <x:c r="F3" s="51" t="str">
        <x:v>Synthetic portfolio project | formula-driven daily control report | 28-day reporting period</x:v>
      </x:c>
      <x:c r="G3" s="51" t="str">
        <x:v>Synthetic portfolio project | formula-driven daily control report | 28-day reporting period</x:v>
      </x:c>
      <x:c r="H3" s="51" t="str">
        <x:v>Synthetic portfolio project | formula-driven daily control report | 28-day reporting period</x:v>
      </x:c>
    </x:row>
    <x:row r="5">
      <x:c r="A5" s="52" t="str">
        <x:v>Clean order records</x:v>
      </x:c>
      <x:c r="B5" s="52" t="str">
        <x:v>Clean order records</x:v>
      </x:c>
      <x:c r="C5" s="52" t="str">
        <x:v>Order exceptions</x:v>
      </x:c>
      <x:c r="D5" s="52" t="str">
        <x:v>Order exceptions</x:v>
      </x:c>
      <x:c r="E5" s="52" t="str">
        <x:v>Stock variances</x:v>
      </x:c>
      <x:c r="F5" s="52" t="str">
        <x:v>Stock variances</x:v>
      </x:c>
      <x:c r="G5" s="52" t="str">
        <x:v>Reorder items</x:v>
      </x:c>
      <x:c r="H5" s="52" t="str">
        <x:v>Reorder items</x:v>
      </x:c>
    </x:row>
    <x:row r="6">
      <x:c r="A6" s="63" t="n">
        <x:f>COUNTIF('Orders'!$L$5:$L$104,"OK")</x:f>
        <x:v>95</x:v>
      </x:c>
      <x:c r="B6" s="64"/>
      <x:c r="C6" s="77" t="n">
        <x:f>COUNTIF('Orders'!$L$5:$L$104,"&lt;&gt;OK")</x:f>
        <x:v>5</x:v>
      </x:c>
      <x:c r="D6" s="78"/>
      <x:c r="E6" s="77" t="n">
        <x:f>COUNTIF('Products'!$J$5:$J$44,"&lt;&gt;0")</x:f>
        <x:v>5</x:v>
      </x:c>
      <x:c r="F6" s="78"/>
      <x:c r="G6" s="91" t="n">
        <x:f>COUNTIF('Products'!$K$5:$K$44,"REORDER")</x:f>
        <x:v>4</x:v>
      </x:c>
      <x:c r="H6" s="92"/>
    </x:row>
    <x:row r="7">
      <x:c r="A7" s="65"/>
      <x:c r="B7" s="66"/>
      <x:c r="C7" s="79"/>
      <x:c r="D7" s="80"/>
      <x:c r="E7" s="79"/>
      <x:c r="F7" s="80"/>
      <x:c r="G7" s="93"/>
      <x:c r="H7" s="94"/>
    </x:row>
    <x:row r="9">
      <x:c r="A9" s="9" t="str">
        <x:v>Weekly clean order value</x:v>
      </x:c>
      <x:c r="B9" s="9" t="str">
        <x:v>Weekly clean order value</x:v>
      </x:c>
    </x:row>
    <x:row r="10" ht="30" customHeight="1">
      <x:c r="A10" s="19" t="str">
        <x:v>Week commencing</x:v>
      </x:c>
      <x:c r="B10" s="21" t="str">
        <x:v>Clean value</x:v>
      </x:c>
    </x:row>
    <x:row r="11">
      <x:c r="A11" s="26" t="str">
        <x:v>01 Aug 2026</x:v>
      </x:c>
      <x:c r="B11" s="41" t="n">
        <x:f>SUMIFS('Orders'!$J$5:$J$104,'Orders'!$B$5:$B$104,"&gt;="&amp;C11,'Orders'!$B$5:$B$104,"&lt;"&amp;C11+7,'Orders'!$L$5:$L$104,"OK")</x:f>
        <x:v>2780</x:v>
      </x:c>
      <x:c r="C11" s="96" t="n">
        <x:v>46235</x:v>
      </x:c>
    </x:row>
    <x:row r="12">
      <x:c r="A12" s="27" t="str">
        <x:v>08 Aug 2026</x:v>
      </x:c>
      <x:c r="B12" s="42" t="n">
        <x:f>SUMIFS('Orders'!$J$5:$J$104,'Orders'!$B$5:$B$104,"&gt;="&amp;C12,'Orders'!$B$5:$B$104,"&lt;"&amp;C12+7,'Orders'!$L$5:$L$104,"OK")</x:f>
        <x:v>2778</x:v>
      </x:c>
      <x:c r="C12" s="96" t="n">
        <x:v>46242</x:v>
      </x:c>
    </x:row>
    <x:row r="13">
      <x:c r="A13" s="27" t="str">
        <x:v>15 Aug 2026</x:v>
      </x:c>
      <x:c r="B13" s="42" t="n">
        <x:f>SUMIFS('Orders'!$J$5:$J$104,'Orders'!$B$5:$B$104,"&gt;="&amp;C13,'Orders'!$B$5:$B$104,"&lt;"&amp;C13+7,'Orders'!$L$5:$L$104,"OK")</x:f>
        <x:v>2201</x:v>
      </x:c>
      <x:c r="C13" s="96" t="n">
        <x:v>46249</x:v>
      </x:c>
    </x:row>
    <x:row r="14">
      <x:c r="A14" s="28" t="str">
        <x:v>22 Aug 2026</x:v>
      </x:c>
      <x:c r="B14" s="43" t="n">
        <x:f>SUMIFS('Orders'!$J$5:$J$104,'Orders'!$B$5:$B$104,"&gt;="&amp;C14,'Orders'!$B$5:$B$104,"&lt;"&amp;C14+7,'Orders'!$L$5:$L$104,"OK")</x:f>
        <x:v>1951.5</x:v>
      </x:c>
      <x:c r="C14" s="96" t="n">
        <x:v>46256</x:v>
      </x:c>
    </x:row>
    <x:row r="17">
      <x:c r="A17" s="9" t="str">
        <x:v>Operational status</x:v>
      </x:c>
      <x:c r="B17" s="9" t="str">
        <x:v>Operational status</x:v>
      </x:c>
      <x:c r="D17" s="9" t="str">
        <x:v>Daily control summary</x:v>
      </x:c>
      <x:c r="E17" s="9" t="str">
        <x:v>Daily control summary</x:v>
      </x:c>
      <x:c r="F17" s="9" t="str">
        <x:v>Daily control summary</x:v>
      </x:c>
      <x:c r="G17" s="9" t="str">
        <x:v>Daily control summary</x:v>
      </x:c>
      <x:c r="H17" s="9" t="str">
        <x:v>Daily control summary</x:v>
      </x:c>
    </x:row>
    <x:row r="18" ht="30" customHeight="1">
      <x:c r="A18" s="19" t="str">
        <x:v>Status</x:v>
      </x:c>
      <x:c r="B18" s="21" t="str">
        <x:v>Products</x:v>
      </x:c>
      <x:c r="D18" s="19" t="str">
        <x:v>Metric</x:v>
      </x:c>
      <x:c r="E18" s="20" t="str">
        <x:v>Result</x:v>
      </x:c>
      <x:c r="F18" s="21" t="str">
        <x:v>Control interpretation</x:v>
      </x:c>
    </x:row>
    <x:row r="19">
      <x:c r="A19" s="26" t="str">
        <x:v>MATCH</x:v>
      </x:c>
      <x:c r="B19" s="26" t="n">
        <x:f>COUNTIF('Products'!$K$5:$K$44,A19)</x:f>
        <x:v>31</x:v>
      </x:c>
      <x:c r="D19" s="26" t="str">
        <x:v>Source orders</x:v>
      </x:c>
      <x:c r="E19" s="26" t="n">
        <x:f>COUNTA('Orders'!$A$5:$A$104)</x:f>
        <x:v>100</x:v>
      </x:c>
      <x:c r="F19" s="48" t="str">
        <x:v>Volume loaded</x:v>
      </x:c>
    </x:row>
    <x:row r="20">
      <x:c r="A20" s="27" t="str">
        <x:v>REORDER</x:v>
      </x:c>
      <x:c r="B20" s="27" t="n">
        <x:f>COUNTIF('Products'!$K$5:$K$44,A20)</x:f>
        <x:v>4</x:v>
      </x:c>
      <x:c r="D20" s="27" t="str">
        <x:v>Fulfilled units</x:v>
      </x:c>
      <x:c r="E20" s="27" t="n">
        <x:f>SUMIFS('Orders'!$D$5:$D$104,'Orders'!$G$5:$G$104,"Fulfilled",'Orders'!$L$5:$L$104,"OK")</x:f>
        <x:v>204</x:v>
      </x:c>
      <x:c r="F20" s="49" t="str">
        <x:v>Valid fulfilled quantity</x:v>
      </x:c>
    </x:row>
    <x:row r="21">
      <x:c r="A21" s="28" t="str">
        <x:v>INVESTIGATE</x:v>
      </x:c>
      <x:c r="B21" s="28" t="n">
        <x:f>COUNTIF('Products'!$K$5:$K$44,A21)</x:f>
        <x:v>5</x:v>
      </x:c>
      <x:c r="D21" s="27" t="str">
        <x:v>Clean fulfilled value</x:v>
      </x:c>
      <x:c r="E21" s="42" t="n">
        <x:f>SUMIFS('Orders'!$J$5:$J$104,'Orders'!$G$5:$G$104,"Fulfilled",'Orders'!$L$5:$L$104,"OK")</x:f>
        <x:v>6162.5</x:v>
      </x:c>
      <x:c r="F21" s="49" t="str">
        <x:v>Revenue from valid fulfilled orders</x:v>
      </x:c>
    </x:row>
    <x:row r="22">
      <x:c r="D22" s="27" t="str">
        <x:v>Unknown SKUs</x:v>
      </x:c>
      <x:c r="E22" s="27" t="n">
        <x:f>COUNTIF('Orders'!$L$5:$L$104,"INVALID SKU")</x:f>
        <x:v>1</x:v>
      </x:c>
      <x:c r="F22" s="49" t="str">
        <x:v>Correct before processing</x:v>
      </x:c>
    </x:row>
    <x:row r="23">
      <x:c r="D23" s="28" t="str">
        <x:v>Duplicate-ID records</x:v>
      </x:c>
      <x:c r="E23" s="28" t="n">
        <x:f>COUNTIF('Orders'!$L$5:$L$104,"DUPLICATE")</x:f>
        <x:v>2</x:v>
      </x:c>
      <x:c r="F23" s="50" t="str">
        <x:v>Investigate source duplication</x:v>
      </x:c>
    </x:row>
    <x:row r="25">
      <x:c r="A25" s="111" t="str">
        <x:v>Control principle: only records marked OK feed the stock reconciliation and clean reporting metrics. Investigate the Exception Log before updating operational reports.</x:v>
      </x:c>
      <x:c r="B25" s="112" t="str">
        <x:v>Control principle: only records marked OK feed the stock reconciliation and clean reporting metrics. Investigate the Exception Log before updating operational reports.</x:v>
      </x:c>
      <x:c r="C25" s="112" t="str">
        <x:v>Control principle: only records marked OK feed the stock reconciliation and clean reporting metrics. Investigate the Exception Log before updating operational reports.</x:v>
      </x:c>
      <x:c r="D25" s="112" t="str">
        <x:v>Control principle: only records marked OK feed the stock reconciliation and clean reporting metrics. Investigate the Exception Log before updating operational reports.</x:v>
      </x:c>
      <x:c r="E25" s="112" t="str">
        <x:v>Control principle: only records marked OK feed the stock reconciliation and clean reporting metrics. Investigate the Exception Log before updating operational reports.</x:v>
      </x:c>
      <x:c r="F25" s="112" t="str">
        <x:v>Control principle: only records marked OK feed the stock reconciliation and clean reporting metrics. Investigate the Exception Log before updating operational reports.</x:v>
      </x:c>
      <x:c r="G25" s="112" t="str">
        <x:v>Control principle: only records marked OK feed the stock reconciliation and clean reporting metrics. Investigate the Exception Log before updating operational reports.</x:v>
      </x:c>
      <x:c r="H25" s="113" t="str">
        <x:v>Control principle: only records marked OK feed the stock reconciliation and clean reporting metrics. Investigate the Exception Log before updating operational reports.</x:v>
      </x:c>
    </x:row>
    <x:row r="26">
      <x:c r="A26" s="114" t="str">
        <x:v>Control principle: only records marked OK feed the stock reconciliation and clean reporting metrics. Investigate the Exception Log before updating operational reports.</x:v>
      </x:c>
      <x:c r="B26" s="115" t="str">
        <x:v>Control principle: only records marked OK feed the stock reconciliation and clean reporting metrics. Investigate the Exception Log before updating operational reports.</x:v>
      </x:c>
      <x:c r="C26" s="115" t="str">
        <x:v>Control principle: only records marked OK feed the stock reconciliation and clean reporting metrics. Investigate the Exception Log before updating operational reports.</x:v>
      </x:c>
      <x:c r="D26" s="115" t="str">
        <x:v>Control principle: only records marked OK feed the stock reconciliation and clean reporting metrics. Investigate the Exception Log before updating operational reports.</x:v>
      </x:c>
      <x:c r="E26" s="115" t="str">
        <x:v>Control principle: only records marked OK feed the stock reconciliation and clean reporting metrics. Investigate the Exception Log before updating operational reports.</x:v>
      </x:c>
      <x:c r="F26" s="115" t="str">
        <x:v>Control principle: only records marked OK feed the stock reconciliation and clean reporting metrics. Investigate the Exception Log before updating operational reports.</x:v>
      </x:c>
      <x:c r="G26" s="115" t="str">
        <x:v>Control principle: only records marked OK feed the stock reconciliation and clean reporting metrics. Investigate the Exception Log before updating operational reports.</x:v>
      </x:c>
      <x:c r="H26" s="116" t="str">
        <x:v>Control principle: only records marked OK feed the stock reconciliation and clean reporting metrics. Investigate the Exception Log before updating operational reports.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B9"/>
    <x:mergeCell ref="A17:B17"/>
    <x:mergeCell ref="D17:H17"/>
    <x:mergeCell ref="A25:H26"/>
  </x:mergeCells>
  <x:pageMargins left="0.7" right="0.7" top="0.75" bottom="0.75" header="0.3" footer="0.3"/>
  <x:drawing xmlns:r="http://schemas.openxmlformats.org/officeDocument/2006/relationships" r:id="R17d1a76befdc487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5" hidden="0" customWidth="1"/>
    <x:col min="4" max="4" width="13" hidden="0" customWidth="1"/>
    <x:col min="5" max="5" width="13" hidden="0" customWidth="1"/>
    <x:col min="6" max="6" width="11" hidden="0" customWidth="1"/>
    <x:col min="7" max="7" width="14" hidden="0" customWidth="1"/>
    <x:col min="8" max="8" width="15" hidden="0" customWidth="1"/>
    <x:col min="9" max="9" width="13" hidden="0" customWidth="1"/>
    <x:col min="10" max="10" width="10" hidden="0" customWidth="1"/>
    <x:col min="11" max="11" width="15" hidden="0" customWidth="1"/>
    <x:col min="12" max="12" width="12" hidden="0" customWidth="1"/>
    <x:col min="13" max="13" width="12" hidden="0" customWidth="1"/>
  </x:cols>
  <x:sheetData>
    <x:row r="1" ht="34" customHeight="1">
      <x:c r="A1" s="4" t="str">
        <x:v>Products and Stock Reconciliation</x:v>
      </x:c>
      <x:c r="B1" s="4" t="str">
        <x:v>Products and Stock Reconciliation</x:v>
      </x:c>
      <x:c r="C1" s="4" t="str">
        <x:v>Products and Stock Reconciliation</x:v>
      </x:c>
      <x:c r="D1" s="4" t="str">
        <x:v>Products and Stock Reconciliation</x:v>
      </x:c>
      <x:c r="E1" s="4" t="str">
        <x:v>Products and Stock Reconciliation</x:v>
      </x:c>
      <x:c r="F1" s="4" t="str">
        <x:v>Products and Stock Reconciliation</x:v>
      </x:c>
      <x:c r="G1" s="4" t="str">
        <x:v>Products and Stock Reconciliation</x:v>
      </x:c>
      <x:c r="H1" s="4" t="str">
        <x:v>Products and Stock Reconciliation</x:v>
      </x:c>
      <x:c r="I1" s="4" t="str">
        <x:v>Products and Stock Reconciliation</x:v>
      </x:c>
      <x:c r="J1" s="4" t="str">
        <x:v>Products and Stock Reconciliation</x:v>
      </x:c>
      <x:c r="K1" s="4" t="str">
        <x:v>Products and Stock Reconciliation</x:v>
      </x:c>
      <x:c r="L1" s="4" t="str">
        <x:v>Products and Stock Reconciliation</x:v>
      </x:c>
      <x:c r="M1" s="4" t="str">
        <x:v>Products and Stock Reconciliation</x:v>
      </x:c>
    </x:row>
    <x:row r="2">
      <x:c r="A2" s="7" t="str">
        <x:v>Synthetic ecommerce inventory. Blue cells are source inputs; calculated columns reconcile fulfilled orders to system stock.</x:v>
      </x:c>
      <x:c r="B2" s="7" t="str">
        <x:v>Synthetic ecommerce inventory. Blue cells are source inputs; calculated columns reconcile fulfilled orders to system stock.</x:v>
      </x:c>
      <x:c r="C2" s="7" t="str">
        <x:v>Synthetic ecommerce inventory. Blue cells are source inputs; calculated columns reconcile fulfilled orders to system stock.</x:v>
      </x:c>
      <x:c r="D2" s="7" t="str">
        <x:v>Synthetic ecommerce inventory. Blue cells are source inputs; calculated columns reconcile fulfilled orders to system stock.</x:v>
      </x:c>
      <x:c r="E2" s="7" t="str">
        <x:v>Synthetic ecommerce inventory. Blue cells are source inputs; calculated columns reconcile fulfilled orders to system stock.</x:v>
      </x:c>
      <x:c r="F2" s="7" t="str">
        <x:v>Synthetic ecommerce inventory. Blue cells are source inputs; calculated columns reconcile fulfilled orders to system stock.</x:v>
      </x:c>
      <x:c r="G2" s="7" t="str">
        <x:v>Synthetic ecommerce inventory. Blue cells are source inputs; calculated columns reconcile fulfilled orders to system stock.</x:v>
      </x:c>
      <x:c r="H2" s="7" t="str">
        <x:v>Synthetic ecommerce inventory. Blue cells are source inputs; calculated columns reconcile fulfilled orders to system stock.</x:v>
      </x:c>
      <x:c r="I2" s="7" t="str">
        <x:v>Synthetic ecommerce inventory. Blue cells are source inputs; calculated columns reconcile fulfilled orders to system stock.</x:v>
      </x:c>
      <x:c r="J2" s="7" t="str">
        <x:v>Synthetic ecommerce inventory. Blue cells are source inputs; calculated columns reconcile fulfilled orders to system stock.</x:v>
      </x:c>
      <x:c r="K2" s="7" t="str">
        <x:v>Synthetic ecommerce inventory. Blue cells are source inputs; calculated columns reconcile fulfilled orders to system stock.</x:v>
      </x:c>
      <x:c r="L2" s="7" t="str">
        <x:v>Synthetic ecommerce inventory. Blue cells are source inputs; calculated columns reconcile fulfilled orders to system stock.</x:v>
      </x:c>
      <x:c r="M2" s="7" t="str">
        <x:v>Synthetic ecommerce inventory. Blue cells are source inputs; calculated columns reconcile fulfilled orders to system stock.</x:v>
      </x:c>
    </x:row>
    <x:row r="4" ht="30" customHeight="1">
      <x:c r="A4" s="19" t="str">
        <x:v>SKU</x:v>
      </x:c>
      <x:c r="B4" s="20" t="str">
        <x:v>Product</x:v>
      </x:c>
      <x:c r="C4" s="20" t="str">
        <x:v>Category</x:v>
      </x:c>
      <x:c r="D4" s="20" t="str">
        <x:v>Reorder Level</x:v>
      </x:c>
      <x:c r="E4" s="20" t="str">
        <x:v>Opening Stock</x:v>
      </x:c>
      <x:c r="F4" s="20" t="str">
        <x:v>Deliveries</x:v>
      </x:c>
      <x:c r="G4" s="20" t="str">
        <x:v>Fulfilled Units</x:v>
      </x:c>
      <x:c r="H4" s="20" t="str">
        <x:v>Expected Closing</x:v>
      </x:c>
      <x:c r="I4" s="20" t="str">
        <x:v>System Stock</x:v>
      </x:c>
      <x:c r="J4" s="20" t="str">
        <x:v>Variance</x:v>
      </x:c>
      <x:c r="K4" s="20" t="str">
        <x:v>Stock Status</x:v>
      </x:c>
      <x:c r="L4" s="20" t="str">
        <x:v>Clean Orders</x:v>
      </x:c>
      <x:c r="M4" s="47" t="str">
        <x:v>Unit Price</x:v>
      </x:c>
    </x:row>
    <x:row r="5">
      <x:c r="A5" s="29" t="str">
        <x:v>SKU-001</x:v>
      </x:c>
      <x:c r="B5" s="29" t="str">
        <x:v>Storage Basket 1</x:v>
      </x:c>
      <x:c r="C5" s="29" t="str">
        <x:v>Home</x:v>
      </x:c>
      <x:c r="D5" s="32" t="n">
        <x:v>18</x:v>
      </x:c>
      <x:c r="E5" s="32" t="n">
        <x:v>45</x:v>
      </x:c>
      <x:c r="F5" s="32" t="n">
        <x:v>0</x:v>
      </x:c>
      <x:c r="G5" s="33" t="n">
        <x:f>SUMIFS('Orders'!$D$5:$D$104,'Orders'!$C$5:$C$104,$A5,'Orders'!$G$5:$G$104,"Fulfilled",'Orders'!$L$5:$L$104,"OK")</x:f>
        <x:v>9</x:v>
      </x:c>
      <x:c r="H5" s="33" t="n">
        <x:f>E5+F5-G5</x:f>
        <x:v>36</x:v>
      </x:c>
      <x:c r="I5" s="32" t="n">
        <x:v>36</x:v>
      </x:c>
      <x:c r="J5" s="33" t="n">
        <x:f>I5-H5</x:f>
        <x:v>0</x:v>
      </x:c>
      <x:c r="K5" s="26" t="str">
        <x:f>IF(J5&lt;&gt;0,"INVESTIGATE",IF(I5&lt;=D5,"REORDER","MATCH"))</x:f>
        <x:v>MATCH</x:v>
      </x:c>
      <x:c r="L5" s="26" t="n">
        <x:f>COUNTIFS('Orders'!$C$5:$C$104,$A5,'Orders'!$L$5:$L$104,"OK")</x:f>
        <x:v>3</x:v>
      </x:c>
      <x:c r="M5" s="41" t="n">
        <x:v>9.5</x:v>
      </x:c>
    </x:row>
    <x:row r="6">
      <x:c r="A6" s="30" t="str">
        <x:v>SKU-002</x:v>
      </x:c>
      <x:c r="B6" s="30" t="str">
        <x:v>USB-C Hub 1</x:v>
      </x:c>
      <x:c r="C6" s="30" t="str">
        <x:v>Electronics</x:v>
      </x:c>
      <x:c r="D6" s="34" t="n">
        <x:v>22</x:v>
      </x:c>
      <x:c r="E6" s="34" t="n">
        <x:v>56</x:v>
      </x:c>
      <x:c r="F6" s="34" t="n">
        <x:v>12</x:v>
      </x:c>
      <x:c r="G6" s="35" t="n">
        <x:f>SUMIFS('Orders'!$D$5:$D$104,'Orders'!$C$5:$C$104,$A6,'Orders'!$G$5:$G$104,"Fulfilled",'Orders'!$L$5:$L$104,"OK")</x:f>
        <x:v>0</x:v>
      </x:c>
      <x:c r="H6" s="35" t="n">
        <x:f>E6+F6-G6</x:f>
        <x:v>68</x:v>
      </x:c>
      <x:c r="I6" s="34" t="n">
        <x:v>68</x:v>
      </x:c>
      <x:c r="J6" s="35" t="n">
        <x:f>I6-H6</x:f>
        <x:v>0</x:v>
      </x:c>
      <x:c r="K6" s="27" t="str">
        <x:f>IF(J6&lt;&gt;0,"INVESTIGATE",IF(I6&lt;=D6,"REORDER","MATCH"))</x:f>
        <x:v>MATCH</x:v>
      </x:c>
      <x:c r="L6" s="27" t="n">
        <x:f>COUNTIFS('Orders'!$C$5:$C$104,$A6,'Orders'!$L$5:$L$104,"OK")</x:f>
        <x:v>2</x:v>
      </x:c>
      <x:c r="M6" s="42" t="n">
        <x:v>13.75</x:v>
      </x:c>
    </x:row>
    <x:row r="7">
      <x:c r="A7" s="30" t="str">
        <x:v>SKU-003</x:v>
      </x:c>
      <x:c r="B7" s="30" t="str">
        <x:v>Resistance Band 1</x:v>
      </x:c>
      <x:c r="C7" s="30" t="str">
        <x:v>Fitness</x:v>
      </x:c>
      <x:c r="D7" s="34" t="n">
        <x:v>26</x:v>
      </x:c>
      <x:c r="E7" s="34" t="n">
        <x:v>67</x:v>
      </x:c>
      <x:c r="F7" s="34" t="n">
        <x:v>24</x:v>
      </x:c>
      <x:c r="G7" s="35" t="n">
        <x:f>SUMIFS('Orders'!$D$5:$D$104,'Orders'!$C$5:$C$104,$A7,'Orders'!$G$5:$G$104,"Fulfilled",'Orders'!$L$5:$L$104,"OK")</x:f>
        <x:v>9</x:v>
      </x:c>
      <x:c r="H7" s="35" t="n">
        <x:f>E7+F7-G7</x:f>
        <x:v>82</x:v>
      </x:c>
      <x:c r="I7" s="34" t="n">
        <x:v>85</x:v>
      </x:c>
      <x:c r="J7" s="35" t="n">
        <x:f>I7-H7</x:f>
        <x:v>3</x:v>
      </x:c>
      <x:c r="K7" s="27" t="str">
        <x:f>IF(J7&lt;&gt;0,"INVESTIGATE",IF(I7&lt;=D7,"REORDER","MATCH"))</x:f>
        <x:v>INVESTIGATE</x:v>
      </x:c>
      <x:c r="L7" s="27" t="n">
        <x:f>COUNTIFS('Orders'!$C$5:$C$104,$A7,'Orders'!$L$5:$L$104,"OK")</x:f>
        <x:v>3</x:v>
      </x:c>
      <x:c r="M7" s="42" t="n">
        <x:v>18</x:v>
      </x:c>
    </x:row>
    <x:row r="8">
      <x:c r="A8" s="30" t="str">
        <x:v>SKU-004</x:v>
      </x:c>
      <x:c r="B8" s="30" t="str">
        <x:v>Face Serum 1</x:v>
      </x:c>
      <x:c r="C8" s="30" t="str">
        <x:v>Beauty</x:v>
      </x:c>
      <x:c r="D8" s="34" t="n">
        <x:v>30</x:v>
      </x:c>
      <x:c r="E8" s="34" t="n">
        <x:v>78</x:v>
      </x:c>
      <x:c r="F8" s="34" t="n">
        <x:v>36</x:v>
      </x:c>
      <x:c r="G8" s="35" t="n">
        <x:f>SUMIFS('Orders'!$D$5:$D$104,'Orders'!$C$5:$C$104,$A8,'Orders'!$G$5:$G$104,"Fulfilled",'Orders'!$L$5:$L$104,"OK")</x:f>
        <x:v>0</x:v>
      </x:c>
      <x:c r="H8" s="35" t="n">
        <x:f>E8+F8-G8</x:f>
        <x:v>114</x:v>
      </x:c>
      <x:c r="I8" s="34" t="n">
        <x:v>114</x:v>
      </x:c>
      <x:c r="J8" s="35" t="n">
        <x:f>I8-H8</x:f>
        <x:v>0</x:v>
      </x:c>
      <x:c r="K8" s="27" t="str">
        <x:f>IF(J8&lt;&gt;0,"INVESTIGATE",IF(I8&lt;=D8,"REORDER","MATCH"))</x:f>
        <x:v>MATCH</x:v>
      </x:c>
      <x:c r="L8" s="27" t="n">
        <x:f>COUNTIFS('Orders'!$C$5:$C$104,$A8,'Orders'!$L$5:$L$104,"OK")</x:f>
        <x:v>2</x:v>
      </x:c>
      <x:c r="M8" s="42" t="n">
        <x:v>22.25</x:v>
      </x:c>
    </x:row>
    <x:row r="9">
      <x:c r="A9" s="30" t="str">
        <x:v>SKU-005</x:v>
      </x:c>
      <x:c r="B9" s="30" t="str">
        <x:v>Desk Organiser 1</x:v>
      </x:c>
      <x:c r="C9" s="30" t="str">
        <x:v>Office</x:v>
      </x:c>
      <x:c r="D9" s="34" t="n">
        <x:v>18</x:v>
      </x:c>
      <x:c r="E9" s="34" t="n">
        <x:v>89</x:v>
      </x:c>
      <x:c r="F9" s="34" t="n">
        <x:v>0</x:v>
      </x:c>
      <x:c r="G9" s="35" t="n">
        <x:f>SUMIFS('Orders'!$D$5:$D$104,'Orders'!$C$5:$C$104,$A9,'Orders'!$G$5:$G$104,"Fulfilled",'Orders'!$L$5:$L$104,"OK")</x:f>
        <x:v>9</x:v>
      </x:c>
      <x:c r="H9" s="35" t="n">
        <x:f>E9+F9-G9</x:f>
        <x:v>80</x:v>
      </x:c>
      <x:c r="I9" s="34" t="n">
        <x:v>80</x:v>
      </x:c>
      <x:c r="J9" s="35" t="n">
        <x:f>I9-H9</x:f>
        <x:v>0</x:v>
      </x:c>
      <x:c r="K9" s="27" t="str">
        <x:f>IF(J9&lt;&gt;0,"INVESTIGATE",IF(I9&lt;=D9,"REORDER","MATCH"))</x:f>
        <x:v>MATCH</x:v>
      </x:c>
      <x:c r="L9" s="27" t="n">
        <x:f>COUNTIFS('Orders'!$C$5:$C$104,$A9,'Orders'!$L$5:$L$104,"OK")</x:f>
        <x:v>3</x:v>
      </x:c>
      <x:c r="M9" s="42" t="n">
        <x:v>26.5</x:v>
      </x:c>
    </x:row>
    <x:row r="10">
      <x:c r="A10" s="30" t="str">
        <x:v>SKU-006</x:v>
      </x:c>
      <x:c r="B10" s="30" t="str">
        <x:v>Storage Basket 2</x:v>
      </x:c>
      <x:c r="C10" s="30" t="str">
        <x:v>Home</x:v>
      </x:c>
      <x:c r="D10" s="34" t="n">
        <x:v>26</x:v>
      </x:c>
      <x:c r="E10" s="34" t="n">
        <x:v>20</x:v>
      </x:c>
      <x:c r="F10" s="34" t="n">
        <x:v>0</x:v>
      </x:c>
      <x:c r="G10" s="35" t="n">
        <x:f>SUMIFS('Orders'!$D$5:$D$104,'Orders'!$C$5:$C$104,$A10,'Orders'!$G$5:$G$104,"Fulfilled",'Orders'!$L$5:$L$104,"OK")</x:f>
        <x:v>10</x:v>
      </x:c>
      <x:c r="H10" s="35" t="n">
        <x:f>E10+F10-G10</x:f>
        <x:v>10</x:v>
      </x:c>
      <x:c r="I10" s="34" t="n">
        <x:v>10</x:v>
      </x:c>
      <x:c r="J10" s="35" t="n">
        <x:f>I10-H10</x:f>
        <x:v>0</x:v>
      </x:c>
      <x:c r="K10" s="27" t="str">
        <x:f>IF(J10&lt;&gt;0,"INVESTIGATE",IF(I10&lt;=D10,"REORDER","MATCH"))</x:f>
        <x:v>REORDER</x:v>
      </x:c>
      <x:c r="L10" s="27" t="n">
        <x:f>COUNTIFS('Orders'!$C$5:$C$104,$A10,'Orders'!$L$5:$L$104,"OK")</x:f>
        <x:v>2</x:v>
      </x:c>
      <x:c r="M10" s="42" t="n">
        <x:v>30.75</x:v>
      </x:c>
    </x:row>
    <x:row r="11">
      <x:c r="A11" s="30" t="str">
        <x:v>SKU-007</x:v>
      </x:c>
      <x:c r="B11" s="30" t="str">
        <x:v>USB-C Hub 2</x:v>
      </x:c>
      <x:c r="C11" s="30" t="str">
        <x:v>Electronics</x:v>
      </x:c>
      <x:c r="D11" s="34" t="n">
        <x:v>26</x:v>
      </x:c>
      <x:c r="E11" s="34" t="n">
        <x:v>111</x:v>
      </x:c>
      <x:c r="F11" s="34" t="n">
        <x:v>24</x:v>
      </x:c>
      <x:c r="G11" s="35" t="n">
        <x:f>SUMIFS('Orders'!$D$5:$D$104,'Orders'!$C$5:$C$104,$A11,'Orders'!$G$5:$G$104,"Fulfilled",'Orders'!$L$5:$L$104,"OK")</x:f>
        <x:v>0</x:v>
      </x:c>
      <x:c r="H11" s="35" t="n">
        <x:f>E11+F11-G11</x:f>
        <x:v>135</x:v>
      </x:c>
      <x:c r="I11" s="34" t="n">
        <x:v>135</x:v>
      </x:c>
      <x:c r="J11" s="35" t="n">
        <x:f>I11-H11</x:f>
        <x:v>0</x:v>
      </x:c>
      <x:c r="K11" s="27" t="str">
        <x:f>IF(J11&lt;&gt;0,"INVESTIGATE",IF(I11&lt;=D11,"REORDER","MATCH"))</x:f>
        <x:v>MATCH</x:v>
      </x:c>
      <x:c r="L11" s="27" t="n">
        <x:f>COUNTIFS('Orders'!$C$5:$C$104,$A11,'Orders'!$L$5:$L$104,"OK")</x:f>
        <x:v>3</x:v>
      </x:c>
      <x:c r="M11" s="42" t="n">
        <x:v>35</x:v>
      </x:c>
    </x:row>
    <x:row r="12">
      <x:c r="A12" s="30" t="str">
        <x:v>SKU-008</x:v>
      </x:c>
      <x:c r="B12" s="30" t="str">
        <x:v>Resistance Band 2</x:v>
      </x:c>
      <x:c r="C12" s="30" t="str">
        <x:v>Fitness</x:v>
      </x:c>
      <x:c r="D12" s="34" t="n">
        <x:v>30</x:v>
      </x:c>
      <x:c r="E12" s="34" t="n">
        <x:v>46</x:v>
      </x:c>
      <x:c r="F12" s="34" t="n">
        <x:v>36</x:v>
      </x:c>
      <x:c r="G12" s="35" t="n">
        <x:f>SUMIFS('Orders'!$D$5:$D$104,'Orders'!$C$5:$C$104,$A12,'Orders'!$G$5:$G$104,"Fulfilled",'Orders'!$L$5:$L$104,"OK")</x:f>
        <x:v>12</x:v>
      </x:c>
      <x:c r="H12" s="35" t="n">
        <x:f>E12+F12-G12</x:f>
        <x:v>70</x:v>
      </x:c>
      <x:c r="I12" s="34" t="n">
        <x:v>66</x:v>
      </x:c>
      <x:c r="J12" s="35" t="n">
        <x:f>I12-H12</x:f>
        <x:v>-4</x:v>
      </x:c>
      <x:c r="K12" s="27" t="str">
        <x:f>IF(J12&lt;&gt;0,"INVESTIGATE",IF(I12&lt;=D12,"REORDER","MATCH"))</x:f>
        <x:v>INVESTIGATE</x:v>
      </x:c>
      <x:c r="L12" s="27" t="n">
        <x:f>COUNTIFS('Orders'!$C$5:$C$104,$A12,'Orders'!$L$5:$L$104,"OK")</x:f>
        <x:v>3</x:v>
      </x:c>
      <x:c r="M12" s="42" t="n">
        <x:v>39.25</x:v>
      </x:c>
    </x:row>
    <x:row r="13">
      <x:c r="A13" s="30" t="str">
        <x:v>SKU-009</x:v>
      </x:c>
      <x:c r="B13" s="30" t="str">
        <x:v>Face Serum 2</x:v>
      </x:c>
      <x:c r="C13" s="30" t="str">
        <x:v>Beauty</x:v>
      </x:c>
      <x:c r="D13" s="34" t="n">
        <x:v>18</x:v>
      </x:c>
      <x:c r="E13" s="34" t="n">
        <x:v>57</x:v>
      </x:c>
      <x:c r="F13" s="34" t="n">
        <x:v>0</x:v>
      </x:c>
      <x:c r="G13" s="35" t="n">
        <x:f>SUMIFS('Orders'!$D$5:$D$104,'Orders'!$C$5:$C$104,$A13,'Orders'!$G$5:$G$104,"Fulfilled",'Orders'!$L$5:$L$104,"OK")</x:f>
        <x:v>0</x:v>
      </x:c>
      <x:c r="H13" s="35" t="n">
        <x:f>E13+F13-G13</x:f>
        <x:v>57</x:v>
      </x:c>
      <x:c r="I13" s="34" t="n">
        <x:v>57</x:v>
      </x:c>
      <x:c r="J13" s="35" t="n">
        <x:f>I13-H13</x:f>
        <x:v>0</x:v>
      </x:c>
      <x:c r="K13" s="27" t="str">
        <x:f>IF(J13&lt;&gt;0,"INVESTIGATE",IF(I13&lt;=D13,"REORDER","MATCH"))</x:f>
        <x:v>MATCH</x:v>
      </x:c>
      <x:c r="L13" s="27" t="n">
        <x:f>COUNTIFS('Orders'!$C$5:$C$104,$A13,'Orders'!$L$5:$L$104,"OK")</x:f>
        <x:v>1</x:v>
      </x:c>
      <x:c r="M13" s="42" t="n">
        <x:v>43.5</x:v>
      </x:c>
    </x:row>
    <x:row r="14">
      <x:c r="A14" s="30" t="str">
        <x:v>SKU-010</x:v>
      </x:c>
      <x:c r="B14" s="30" t="str">
        <x:v>Desk Organiser 2</x:v>
      </x:c>
      <x:c r="C14" s="30" t="str">
        <x:v>Office</x:v>
      </x:c>
      <x:c r="D14" s="34" t="n">
        <x:v>22</x:v>
      </x:c>
      <x:c r="E14" s="34" t="n">
        <x:v>68</x:v>
      </x:c>
      <x:c r="F14" s="34" t="n">
        <x:v>12</x:v>
      </x:c>
      <x:c r="G14" s="35" t="n">
        <x:f>SUMIFS('Orders'!$D$5:$D$104,'Orders'!$C$5:$C$104,$A14,'Orders'!$G$5:$G$104,"Fulfilled",'Orders'!$L$5:$L$104,"OK")</x:f>
        <x:v>12</x:v>
      </x:c>
      <x:c r="H14" s="35" t="n">
        <x:f>E14+F14-G14</x:f>
        <x:v>68</x:v>
      </x:c>
      <x:c r="I14" s="34" t="n">
        <x:v>68</x:v>
      </x:c>
      <x:c r="J14" s="35" t="n">
        <x:f>I14-H14</x:f>
        <x:v>0</x:v>
      </x:c>
      <x:c r="K14" s="27" t="str">
        <x:f>IF(J14&lt;&gt;0,"INVESTIGATE",IF(I14&lt;=D14,"REORDER","MATCH"))</x:f>
        <x:v>MATCH</x:v>
      </x:c>
      <x:c r="L14" s="27" t="n">
        <x:f>COUNTIFS('Orders'!$C$5:$C$104,$A14,'Orders'!$L$5:$L$104,"OK")</x:f>
        <x:v>3</x:v>
      </x:c>
      <x:c r="M14" s="42" t="n">
        <x:v>47.75</x:v>
      </x:c>
    </x:row>
    <x:row r="15">
      <x:c r="A15" s="30" t="str">
        <x:v>SKU-011</x:v>
      </x:c>
      <x:c r="B15" s="30" t="str">
        <x:v>Storage Basket 3</x:v>
      </x:c>
      <x:c r="C15" s="30" t="str">
        <x:v>Home</x:v>
      </x:c>
      <x:c r="D15" s="34" t="n">
        <x:v>26</x:v>
      </x:c>
      <x:c r="E15" s="34" t="n">
        <x:v>79</x:v>
      </x:c>
      <x:c r="F15" s="34" t="n">
        <x:v>24</x:v>
      </x:c>
      <x:c r="G15" s="35" t="n">
        <x:f>SUMIFS('Orders'!$D$5:$D$104,'Orders'!$C$5:$C$104,$A15,'Orders'!$G$5:$G$104,"Fulfilled",'Orders'!$L$5:$L$104,"OK")</x:f>
        <x:v>6</x:v>
      </x:c>
      <x:c r="H15" s="35" t="n">
        <x:f>E15+F15-G15</x:f>
        <x:v>97</x:v>
      </x:c>
      <x:c r="I15" s="34" t="n">
        <x:v>97</x:v>
      </x:c>
      <x:c r="J15" s="35" t="n">
        <x:f>I15-H15</x:f>
        <x:v>0</x:v>
      </x:c>
      <x:c r="K15" s="27" t="str">
        <x:f>IF(J15&lt;&gt;0,"INVESTIGATE",IF(I15&lt;=D15,"REORDER","MATCH"))</x:f>
        <x:v>MATCH</x:v>
      </x:c>
      <x:c r="L15" s="27" t="n">
        <x:f>COUNTIFS('Orders'!$C$5:$C$104,$A15,'Orders'!$L$5:$L$104,"OK")</x:f>
        <x:v>2</x:v>
      </x:c>
      <x:c r="M15" s="42" t="n">
        <x:v>9.5</x:v>
      </x:c>
    </x:row>
    <x:row r="16">
      <x:c r="A16" s="30" t="str">
        <x:v>SKU-012</x:v>
      </x:c>
      <x:c r="B16" s="30" t="str">
        <x:v>USB-C Hub 3</x:v>
      </x:c>
      <x:c r="C16" s="30" t="str">
        <x:v>Electronics</x:v>
      </x:c>
      <x:c r="D16" s="34" t="n">
        <x:v>30</x:v>
      </x:c>
      <x:c r="E16" s="34" t="n">
        <x:v>90</x:v>
      </x:c>
      <x:c r="F16" s="34" t="n">
        <x:v>36</x:v>
      </x:c>
      <x:c r="G16" s="35" t="n">
        <x:f>SUMIFS('Orders'!$D$5:$D$104,'Orders'!$C$5:$C$104,$A16,'Orders'!$G$5:$G$104,"Fulfilled",'Orders'!$L$5:$L$104,"OK")</x:f>
        <x:v>0</x:v>
      </x:c>
      <x:c r="H16" s="35" t="n">
        <x:f>E16+F16-G16</x:f>
        <x:v>126</x:v>
      </x:c>
      <x:c r="I16" s="34" t="n">
        <x:v>126</x:v>
      </x:c>
      <x:c r="J16" s="35" t="n">
        <x:f>I16-H16</x:f>
        <x:v>0</x:v>
      </x:c>
      <x:c r="K16" s="27" t="str">
        <x:f>IF(J16&lt;&gt;0,"INVESTIGATE",IF(I16&lt;=D16,"REORDER","MATCH"))</x:f>
        <x:v>MATCH</x:v>
      </x:c>
      <x:c r="L16" s="27" t="n">
        <x:f>COUNTIFS('Orders'!$C$5:$C$104,$A16,'Orders'!$L$5:$L$104,"OK")</x:f>
        <x:v>2</x:v>
      </x:c>
      <x:c r="M16" s="42" t="n">
        <x:v>13.75</x:v>
      </x:c>
    </x:row>
    <x:row r="17">
      <x:c r="A17" s="30" t="str">
        <x:v>SKU-013</x:v>
      </x:c>
      <x:c r="B17" s="30" t="str">
        <x:v>Resistance Band 3</x:v>
      </x:c>
      <x:c r="C17" s="30" t="str">
        <x:v>Fitness</x:v>
      </x:c>
      <x:c r="D17" s="34" t="n">
        <x:v>26</x:v>
      </x:c>
      <x:c r="E17" s="34" t="n">
        <x:v>18</x:v>
      </x:c>
      <x:c r="F17" s="34" t="n">
        <x:v>0</x:v>
      </x:c>
      <x:c r="G17" s="35" t="n">
        <x:f>SUMIFS('Orders'!$D$5:$D$104,'Orders'!$C$5:$C$104,$A17,'Orders'!$G$5:$G$104,"Fulfilled",'Orders'!$L$5:$L$104,"OK")</x:f>
        <x:v>6</x:v>
      </x:c>
      <x:c r="H17" s="35" t="n">
        <x:f>E17+F17-G17</x:f>
        <x:v>12</x:v>
      </x:c>
      <x:c r="I17" s="34" t="n">
        <x:v>12</x:v>
      </x:c>
      <x:c r="J17" s="35" t="n">
        <x:f>I17-H17</x:f>
        <x:v>0</x:v>
      </x:c>
      <x:c r="K17" s="27" t="str">
        <x:f>IF(J17&lt;&gt;0,"INVESTIGATE",IF(I17&lt;=D17,"REORDER","MATCH"))</x:f>
        <x:v>REORDER</x:v>
      </x:c>
      <x:c r="L17" s="27" t="n">
        <x:f>COUNTIFS('Orders'!$C$5:$C$104,$A17,'Orders'!$L$5:$L$104,"OK")</x:f>
        <x:v>2</x:v>
      </x:c>
      <x:c r="M17" s="42" t="n">
        <x:v>18</x:v>
      </x:c>
    </x:row>
    <x:row r="18">
      <x:c r="A18" s="30" t="str">
        <x:v>SKU-014</x:v>
      </x:c>
      <x:c r="B18" s="30" t="str">
        <x:v>Face Serum 3</x:v>
      </x:c>
      <x:c r="C18" s="30" t="str">
        <x:v>Beauty</x:v>
      </x:c>
      <x:c r="D18" s="34" t="n">
        <x:v>22</x:v>
      </x:c>
      <x:c r="E18" s="34" t="n">
        <x:v>112</x:v>
      </x:c>
      <x:c r="F18" s="34" t="n">
        <x:v>12</x:v>
      </x:c>
      <x:c r="G18" s="35" t="n">
        <x:f>SUMIFS('Orders'!$D$5:$D$104,'Orders'!$C$5:$C$104,$A18,'Orders'!$G$5:$G$104,"Fulfilled",'Orders'!$L$5:$L$104,"OK")</x:f>
        <x:v>0</x:v>
      </x:c>
      <x:c r="H18" s="35" t="n">
        <x:f>E18+F18-G18</x:f>
        <x:v>124</x:v>
      </x:c>
      <x:c r="I18" s="34" t="n">
        <x:v>124</x:v>
      </x:c>
      <x:c r="J18" s="35" t="n">
        <x:f>I18-H18</x:f>
        <x:v>0</x:v>
      </x:c>
      <x:c r="K18" s="27" t="str">
        <x:f>IF(J18&lt;&gt;0,"INVESTIGATE",IF(I18&lt;=D18,"REORDER","MATCH"))</x:f>
        <x:v>MATCH</x:v>
      </x:c>
      <x:c r="L18" s="27" t="n">
        <x:f>COUNTIFS('Orders'!$C$5:$C$104,$A18,'Orders'!$L$5:$L$104,"OK")</x:f>
        <x:v>3</x:v>
      </x:c>
      <x:c r="M18" s="42" t="n">
        <x:v>22.25</x:v>
      </x:c>
    </x:row>
    <x:row r="19">
      <x:c r="A19" s="30" t="str">
        <x:v>SKU-015</x:v>
      </x:c>
      <x:c r="B19" s="30" t="str">
        <x:v>Desk Organiser 3</x:v>
      </x:c>
      <x:c r="C19" s="30" t="str">
        <x:v>Office</x:v>
      </x:c>
      <x:c r="D19" s="34" t="n">
        <x:v>26</x:v>
      </x:c>
      <x:c r="E19" s="34" t="n">
        <x:v>47</x:v>
      </x:c>
      <x:c r="F19" s="34" t="n">
        <x:v>24</x:v>
      </x:c>
      <x:c r="G19" s="35" t="n">
        <x:f>SUMIFS('Orders'!$D$5:$D$104,'Orders'!$C$5:$C$104,$A19,'Orders'!$G$5:$G$104,"Fulfilled",'Orders'!$L$5:$L$104,"OK")</x:f>
        <x:v>9</x:v>
      </x:c>
      <x:c r="H19" s="35" t="n">
        <x:f>E19+F19-G19</x:f>
        <x:v>62</x:v>
      </x:c>
      <x:c r="I19" s="34" t="n">
        <x:v>62</x:v>
      </x:c>
      <x:c r="J19" s="35" t="n">
        <x:f>I19-H19</x:f>
        <x:v>0</x:v>
      </x:c>
      <x:c r="K19" s="27" t="str">
        <x:f>IF(J19&lt;&gt;0,"INVESTIGATE",IF(I19&lt;=D19,"REORDER","MATCH"))</x:f>
        <x:v>MATCH</x:v>
      </x:c>
      <x:c r="L19" s="27" t="n">
        <x:f>COUNTIFS('Orders'!$C$5:$C$104,$A19,'Orders'!$L$5:$L$104,"OK")</x:f>
        <x:v>3</x:v>
      </x:c>
      <x:c r="M19" s="42" t="n">
        <x:v>26.5</x:v>
      </x:c>
    </x:row>
    <x:row r="20">
      <x:c r="A20" s="30" t="str">
        <x:v>SKU-016</x:v>
      </x:c>
      <x:c r="B20" s="30" t="str">
        <x:v>Storage Basket 4</x:v>
      </x:c>
      <x:c r="C20" s="30" t="str">
        <x:v>Home</x:v>
      </x:c>
      <x:c r="D20" s="34" t="n">
        <x:v>30</x:v>
      </x:c>
      <x:c r="E20" s="34" t="n">
        <x:v>58</x:v>
      </x:c>
      <x:c r="F20" s="34" t="n">
        <x:v>36</x:v>
      </x:c>
      <x:c r="G20" s="35" t="n">
        <x:f>SUMIFS('Orders'!$D$5:$D$104,'Orders'!$C$5:$C$104,$A20,'Orders'!$G$5:$G$104,"Fulfilled",'Orders'!$L$5:$L$104,"OK")</x:f>
        <x:v>8</x:v>
      </x:c>
      <x:c r="H20" s="35" t="n">
        <x:f>E20+F20-G20</x:f>
        <x:v>86</x:v>
      </x:c>
      <x:c r="I20" s="34" t="n">
        <x:v>86</x:v>
      </x:c>
      <x:c r="J20" s="35" t="n">
        <x:f>I20-H20</x:f>
        <x:v>0</x:v>
      </x:c>
      <x:c r="K20" s="27" t="str">
        <x:f>IF(J20&lt;&gt;0,"INVESTIGATE",IF(I20&lt;=D20,"REORDER","MATCH"))</x:f>
        <x:v>MATCH</x:v>
      </x:c>
      <x:c r="L20" s="27" t="n">
        <x:f>COUNTIFS('Orders'!$C$5:$C$104,$A20,'Orders'!$L$5:$L$104,"OK")</x:f>
        <x:v>2</x:v>
      </x:c>
      <x:c r="M20" s="42" t="n">
        <x:v>30.75</x:v>
      </x:c>
    </x:row>
    <x:row r="21">
      <x:c r="A21" s="30" t="str">
        <x:v>SKU-017</x:v>
      </x:c>
      <x:c r="B21" s="30" t="str">
        <x:v>USB-C Hub 4</x:v>
      </x:c>
      <x:c r="C21" s="30" t="str">
        <x:v>Electronics</x:v>
      </x:c>
      <x:c r="D21" s="34" t="n">
        <x:v>18</x:v>
      </x:c>
      <x:c r="E21" s="34" t="n">
        <x:v>69</x:v>
      </x:c>
      <x:c r="F21" s="34" t="n">
        <x:v>0</x:v>
      </x:c>
      <x:c r="G21" s="35" t="n">
        <x:f>SUMIFS('Orders'!$D$5:$D$104,'Orders'!$C$5:$C$104,$A21,'Orders'!$G$5:$G$104,"Fulfilled",'Orders'!$L$5:$L$104,"OK")</x:f>
        <x:v>0</x:v>
      </x:c>
      <x:c r="H21" s="35" t="n">
        <x:f>E21+F21-G21</x:f>
        <x:v>69</x:v>
      </x:c>
      <x:c r="I21" s="34" t="n">
        <x:v>69</x:v>
      </x:c>
      <x:c r="J21" s="35" t="n">
        <x:f>I21-H21</x:f>
        <x:v>0</x:v>
      </x:c>
      <x:c r="K21" s="27" t="str">
        <x:f>IF(J21&lt;&gt;0,"INVESTIGATE",IF(I21&lt;=D21,"REORDER","MATCH"))</x:f>
        <x:v>MATCH</x:v>
      </x:c>
      <x:c r="L21" s="27" t="n">
        <x:f>COUNTIFS('Orders'!$C$5:$C$104,$A21,'Orders'!$L$5:$L$104,"OK")</x:f>
        <x:v>3</x:v>
      </x:c>
      <x:c r="M21" s="42" t="n">
        <x:v>35</x:v>
      </x:c>
    </x:row>
    <x:row r="22">
      <x:c r="A22" s="30" t="str">
        <x:v>SKU-018</x:v>
      </x:c>
      <x:c r="B22" s="30" t="str">
        <x:v>Resistance Band 4</x:v>
      </x:c>
      <x:c r="C22" s="30" t="str">
        <x:v>Fitness</x:v>
      </x:c>
      <x:c r="D22" s="34" t="n">
        <x:v>22</x:v>
      </x:c>
      <x:c r="E22" s="34" t="n">
        <x:v>80</x:v>
      </x:c>
      <x:c r="F22" s="34" t="n">
        <x:v>12</x:v>
      </x:c>
      <x:c r="G22" s="35" t="n">
        <x:f>SUMIFS('Orders'!$D$5:$D$104,'Orders'!$C$5:$C$104,$A22,'Orders'!$G$5:$G$104,"Fulfilled",'Orders'!$L$5:$L$104,"OK")</x:f>
        <x:v>8</x:v>
      </x:c>
      <x:c r="H22" s="35" t="n">
        <x:f>E22+F22-G22</x:f>
        <x:v>84</x:v>
      </x:c>
      <x:c r="I22" s="34" t="n">
        <x:v>84</x:v>
      </x:c>
      <x:c r="J22" s="35" t="n">
        <x:f>I22-H22</x:f>
        <x:v>0</x:v>
      </x:c>
      <x:c r="K22" s="27" t="str">
        <x:f>IF(J22&lt;&gt;0,"INVESTIGATE",IF(I22&lt;=D22,"REORDER","MATCH"))</x:f>
        <x:v>MATCH</x:v>
      </x:c>
      <x:c r="L22" s="27" t="n">
        <x:f>COUNTIFS('Orders'!$C$5:$C$104,$A22,'Orders'!$L$5:$L$104,"OK")</x:f>
        <x:v>2</x:v>
      </x:c>
      <x:c r="M22" s="42" t="n">
        <x:v>39.25</x:v>
      </x:c>
    </x:row>
    <x:row r="23">
      <x:c r="A23" s="30" t="str">
        <x:v>SKU-019</x:v>
      </x:c>
      <x:c r="B23" s="30" t="str">
        <x:v>Face Serum 4</x:v>
      </x:c>
      <x:c r="C23" s="30" t="str">
        <x:v>Beauty</x:v>
      </x:c>
      <x:c r="D23" s="34" t="n">
        <x:v>26</x:v>
      </x:c>
      <x:c r="E23" s="34" t="n">
        <x:v>91</x:v>
      </x:c>
      <x:c r="F23" s="34" t="n">
        <x:v>24</x:v>
      </x:c>
      <x:c r="G23" s="35" t="n">
        <x:f>SUMIFS('Orders'!$D$5:$D$104,'Orders'!$C$5:$C$104,$A23,'Orders'!$G$5:$G$104,"Fulfilled",'Orders'!$L$5:$L$104,"OK")</x:f>
        <x:v>0</x:v>
      </x:c>
      <x:c r="H23" s="35" t="n">
        <x:f>E23+F23-G23</x:f>
        <x:v>115</x:v>
      </x:c>
      <x:c r="I23" s="34" t="n">
        <x:v>121</x:v>
      </x:c>
      <x:c r="J23" s="35" t="n">
        <x:f>I23-H23</x:f>
        <x:v>6</x:v>
      </x:c>
      <x:c r="K23" s="27" t="str">
        <x:f>IF(J23&lt;&gt;0,"INVESTIGATE",IF(I23&lt;=D23,"REORDER","MATCH"))</x:f>
        <x:v>INVESTIGATE</x:v>
      </x:c>
      <x:c r="L23" s="27" t="n">
        <x:f>COUNTIFS('Orders'!$C$5:$C$104,$A23,'Orders'!$L$5:$L$104,"OK")</x:f>
        <x:v>1</x:v>
      </x:c>
      <x:c r="M23" s="42" t="n">
        <x:v>43.5</x:v>
      </x:c>
    </x:row>
    <x:row r="24">
      <x:c r="A24" s="30" t="str">
        <x:v>SKU-020</x:v>
      </x:c>
      <x:c r="B24" s="30" t="str">
        <x:v>Desk Organiser 4</x:v>
      </x:c>
      <x:c r="C24" s="30" t="str">
        <x:v>Office</x:v>
      </x:c>
      <x:c r="D24" s="34" t="n">
        <x:v>30</x:v>
      </x:c>
      <x:c r="E24" s="34" t="n">
        <x:v>102</x:v>
      </x:c>
      <x:c r="F24" s="34" t="n">
        <x:v>36</x:v>
      </x:c>
      <x:c r="G24" s="35" t="n">
        <x:f>SUMIFS('Orders'!$D$5:$D$104,'Orders'!$C$5:$C$104,$A24,'Orders'!$G$5:$G$104,"Fulfilled",'Orders'!$L$5:$L$104,"OK")</x:f>
        <x:v>8</x:v>
      </x:c>
      <x:c r="H24" s="35" t="n">
        <x:f>E24+F24-G24</x:f>
        <x:v>130</x:v>
      </x:c>
      <x:c r="I24" s="34" t="n">
        <x:v>130</x:v>
      </x:c>
      <x:c r="J24" s="35" t="n">
        <x:f>I24-H24</x:f>
        <x:v>0</x:v>
      </x:c>
      <x:c r="K24" s="27" t="str">
        <x:f>IF(J24&lt;&gt;0,"INVESTIGATE",IF(I24&lt;=D24,"REORDER","MATCH"))</x:f>
        <x:v>MATCH</x:v>
      </x:c>
      <x:c r="L24" s="27" t="n">
        <x:f>COUNTIFS('Orders'!$C$5:$C$104,$A24,'Orders'!$L$5:$L$104,"OK")</x:f>
        <x:v>2</x:v>
      </x:c>
      <x:c r="M24" s="42" t="n">
        <x:v>47.75</x:v>
      </x:c>
    </x:row>
    <x:row r="25">
      <x:c r="A25" s="30" t="str">
        <x:v>SKU-021</x:v>
      </x:c>
      <x:c r="B25" s="30" t="str">
        <x:v>Storage Basket 5</x:v>
      </x:c>
      <x:c r="C25" s="30" t="str">
        <x:v>Home</x:v>
      </x:c>
      <x:c r="D25" s="34" t="n">
        <x:v>18</x:v>
      </x:c>
      <x:c r="E25" s="34" t="n">
        <x:v>113</x:v>
      </x:c>
      <x:c r="F25" s="34" t="n">
        <x:v>0</x:v>
      </x:c>
      <x:c r="G25" s="35" t="n">
        <x:f>SUMIFS('Orders'!$D$5:$D$104,'Orders'!$C$5:$C$104,$A25,'Orders'!$G$5:$G$104,"Fulfilled",'Orders'!$L$5:$L$104,"OK")</x:f>
        <x:v>4</x:v>
      </x:c>
      <x:c r="H25" s="35" t="n">
        <x:f>E25+F25-G25</x:f>
        <x:v>109</x:v>
      </x:c>
      <x:c r="I25" s="34" t="n">
        <x:v>109</x:v>
      </x:c>
      <x:c r="J25" s="35" t="n">
        <x:f>I25-H25</x:f>
        <x:v>0</x:v>
      </x:c>
      <x:c r="K25" s="27" t="str">
        <x:f>IF(J25&lt;&gt;0,"INVESTIGATE",IF(I25&lt;=D25,"REORDER","MATCH"))</x:f>
        <x:v>MATCH</x:v>
      </x:c>
      <x:c r="L25" s="27" t="n">
        <x:f>COUNTIFS('Orders'!$C$5:$C$104,$A25,'Orders'!$L$5:$L$104,"OK")</x:f>
        <x:v>2</x:v>
      </x:c>
      <x:c r="M25" s="42" t="n">
        <x:v>9.5</x:v>
      </x:c>
    </x:row>
    <x:row r="26">
      <x:c r="A26" s="30" t="str">
        <x:v>SKU-022</x:v>
      </x:c>
      <x:c r="B26" s="30" t="str">
        <x:v>USB-C Hub 5</x:v>
      </x:c>
      <x:c r="C26" s="30" t="str">
        <x:v>Electronics</x:v>
      </x:c>
      <x:c r="D26" s="34" t="n">
        <x:v>26</x:v>
      </x:c>
      <x:c r="E26" s="34" t="n">
        <x:v>18</x:v>
      </x:c>
      <x:c r="F26" s="34" t="n">
        <x:v>0</x:v>
      </x:c>
      <x:c r="G26" s="35" t="n">
        <x:f>SUMIFS('Orders'!$D$5:$D$104,'Orders'!$C$5:$C$104,$A26,'Orders'!$G$5:$G$104,"Fulfilled",'Orders'!$L$5:$L$104,"OK")</x:f>
        <x:v>0</x:v>
      </x:c>
      <x:c r="H26" s="35" t="n">
        <x:f>E26+F26-G26</x:f>
        <x:v>18</x:v>
      </x:c>
      <x:c r="I26" s="34" t="n">
        <x:v>18</x:v>
      </x:c>
      <x:c r="J26" s="35" t="n">
        <x:f>I26-H26</x:f>
        <x:v>0</x:v>
      </x:c>
      <x:c r="K26" s="27" t="str">
        <x:f>IF(J26&lt;&gt;0,"INVESTIGATE",IF(I26&lt;=D26,"REORDER","MATCH"))</x:f>
        <x:v>REORDER</x:v>
      </x:c>
      <x:c r="L26" s="27" t="n">
        <x:f>COUNTIFS('Orders'!$C$5:$C$104,$A26,'Orders'!$L$5:$L$104,"OK")</x:f>
        <x:v>3</x:v>
      </x:c>
      <x:c r="M26" s="42" t="n">
        <x:v>13.75</x:v>
      </x:c>
    </x:row>
    <x:row r="27">
      <x:c r="A27" s="30" t="str">
        <x:v>SKU-023</x:v>
      </x:c>
      <x:c r="B27" s="30" t="str">
        <x:v>Resistance Band 5</x:v>
      </x:c>
      <x:c r="C27" s="30" t="str">
        <x:v>Fitness</x:v>
      </x:c>
      <x:c r="D27" s="34" t="n">
        <x:v>26</x:v>
      </x:c>
      <x:c r="E27" s="34" t="n">
        <x:v>59</x:v>
      </x:c>
      <x:c r="F27" s="34" t="n">
        <x:v>24</x:v>
      </x:c>
      <x:c r="G27" s="35" t="n">
        <x:f>SUMIFS('Orders'!$D$5:$D$104,'Orders'!$C$5:$C$104,$A27,'Orders'!$G$5:$G$104,"Fulfilled",'Orders'!$L$5:$L$104,"OK")</x:f>
        <x:v>4</x:v>
      </x:c>
      <x:c r="H27" s="35" t="n">
        <x:f>E27+F27-G27</x:f>
        <x:v>79</x:v>
      </x:c>
      <x:c r="I27" s="34" t="n">
        <x:v>79</x:v>
      </x:c>
      <x:c r="J27" s="35" t="n">
        <x:f>I27-H27</x:f>
        <x:v>0</x:v>
      </x:c>
      <x:c r="K27" s="27" t="str">
        <x:f>IF(J27&lt;&gt;0,"INVESTIGATE",IF(I27&lt;=D27,"REORDER","MATCH"))</x:f>
        <x:v>MATCH</x:v>
      </x:c>
      <x:c r="L27" s="27" t="n">
        <x:f>COUNTIFS('Orders'!$C$5:$C$104,$A27,'Orders'!$L$5:$L$104,"OK")</x:f>
        <x:v>2</x:v>
      </x:c>
      <x:c r="M27" s="42" t="n">
        <x:v>18</x:v>
      </x:c>
    </x:row>
    <x:row r="28">
      <x:c r="A28" s="30" t="str">
        <x:v>SKU-024</x:v>
      </x:c>
      <x:c r="B28" s="30" t="str">
        <x:v>Face Serum 5</x:v>
      </x:c>
      <x:c r="C28" s="30" t="str">
        <x:v>Beauty</x:v>
      </x:c>
      <x:c r="D28" s="34" t="n">
        <x:v>30</x:v>
      </x:c>
      <x:c r="E28" s="34" t="n">
        <x:v>70</x:v>
      </x:c>
      <x:c r="F28" s="34" t="n">
        <x:v>36</x:v>
      </x:c>
      <x:c r="G28" s="35" t="n">
        <x:f>SUMIFS('Orders'!$D$5:$D$104,'Orders'!$C$5:$C$104,$A28,'Orders'!$G$5:$G$104,"Fulfilled",'Orders'!$L$5:$L$104,"OK")</x:f>
        <x:v>0</x:v>
      </x:c>
      <x:c r="H28" s="35" t="n">
        <x:f>E28+F28-G28</x:f>
        <x:v>106</x:v>
      </x:c>
      <x:c r="I28" s="34" t="n">
        <x:v>106</x:v>
      </x:c>
      <x:c r="J28" s="35" t="n">
        <x:f>I28-H28</x:f>
        <x:v>0</x:v>
      </x:c>
      <x:c r="K28" s="27" t="str">
        <x:f>IF(J28&lt;&gt;0,"INVESTIGATE",IF(I28&lt;=D28,"REORDER","MATCH"))</x:f>
        <x:v>MATCH</x:v>
      </x:c>
      <x:c r="L28" s="27" t="n">
        <x:f>COUNTIFS('Orders'!$C$5:$C$104,$A28,'Orders'!$L$5:$L$104,"OK")</x:f>
        <x:v>3</x:v>
      </x:c>
      <x:c r="M28" s="42" t="n">
        <x:v>22.25</x:v>
      </x:c>
    </x:row>
    <x:row r="29">
      <x:c r="A29" s="30" t="str">
        <x:v>SKU-025</x:v>
      </x:c>
      <x:c r="B29" s="30" t="str">
        <x:v>Desk Organiser 5</x:v>
      </x:c>
      <x:c r="C29" s="30" t="str">
        <x:v>Office</x:v>
      </x:c>
      <x:c r="D29" s="34" t="n">
        <x:v>18</x:v>
      </x:c>
      <x:c r="E29" s="34" t="n">
        <x:v>81</x:v>
      </x:c>
      <x:c r="F29" s="34" t="n">
        <x:v>0</x:v>
      </x:c>
      <x:c r="G29" s="35" t="n">
        <x:f>SUMIFS('Orders'!$D$5:$D$104,'Orders'!$C$5:$C$104,$A29,'Orders'!$G$5:$G$104,"Fulfilled",'Orders'!$L$5:$L$104,"OK")</x:f>
        <x:v>4</x:v>
      </x:c>
      <x:c r="H29" s="35" t="n">
        <x:f>E29+F29-G29</x:f>
        <x:v>77</x:v>
      </x:c>
      <x:c r="I29" s="34" t="n">
        <x:v>77</x:v>
      </x:c>
      <x:c r="J29" s="35" t="n">
        <x:f>I29-H29</x:f>
        <x:v>0</x:v>
      </x:c>
      <x:c r="K29" s="27" t="str">
        <x:f>IF(J29&lt;&gt;0,"INVESTIGATE",IF(I29&lt;=D29,"REORDER","MATCH"))</x:f>
        <x:v>MATCH</x:v>
      </x:c>
      <x:c r="L29" s="27" t="n">
        <x:f>COUNTIFS('Orders'!$C$5:$C$104,$A29,'Orders'!$L$5:$L$104,"OK")</x:f>
        <x:v>2</x:v>
      </x:c>
      <x:c r="M29" s="42" t="n">
        <x:v>26.5</x:v>
      </x:c>
    </x:row>
    <x:row r="30">
      <x:c r="A30" s="30" t="str">
        <x:v>SKU-026</x:v>
      </x:c>
      <x:c r="B30" s="30" t="str">
        <x:v>Storage Basket 6</x:v>
      </x:c>
      <x:c r="C30" s="30" t="str">
        <x:v>Home</x:v>
      </x:c>
      <x:c r="D30" s="34" t="n">
        <x:v>22</x:v>
      </x:c>
      <x:c r="E30" s="34" t="n">
        <x:v>92</x:v>
      </x:c>
      <x:c r="F30" s="34" t="n">
        <x:v>12</x:v>
      </x:c>
      <x:c r="G30" s="35" t="n">
        <x:f>SUMIFS('Orders'!$D$5:$D$104,'Orders'!$C$5:$C$104,$A30,'Orders'!$G$5:$G$104,"Fulfilled",'Orders'!$L$5:$L$104,"OK")</x:f>
        <x:v>12</x:v>
      </x:c>
      <x:c r="H30" s="35" t="n">
        <x:f>E30+F30-G30</x:f>
        <x:v>92</x:v>
      </x:c>
      <x:c r="I30" s="34" t="n">
        <x:v>92</x:v>
      </x:c>
      <x:c r="J30" s="35" t="n">
        <x:f>I30-H30</x:f>
        <x:v>0</x:v>
      </x:c>
      <x:c r="K30" s="27" t="str">
        <x:f>IF(J30&lt;&gt;0,"INVESTIGATE",IF(I30&lt;=D30,"REORDER","MATCH"))</x:f>
        <x:v>MATCH</x:v>
      </x:c>
      <x:c r="L30" s="27" t="n">
        <x:f>COUNTIFS('Orders'!$C$5:$C$104,$A30,'Orders'!$L$5:$L$104,"OK")</x:f>
        <x:v>3</x:v>
      </x:c>
      <x:c r="M30" s="42" t="n">
        <x:v>30.75</x:v>
      </x:c>
    </x:row>
    <x:row r="31">
      <x:c r="A31" s="30" t="str">
        <x:v>SKU-027</x:v>
      </x:c>
      <x:c r="B31" s="30" t="str">
        <x:v>USB-C Hub 6</x:v>
      </x:c>
      <x:c r="C31" s="30" t="str">
        <x:v>Electronics</x:v>
      </x:c>
      <x:c r="D31" s="34" t="n">
        <x:v>26</x:v>
      </x:c>
      <x:c r="E31" s="34" t="n">
        <x:v>103</x:v>
      </x:c>
      <x:c r="F31" s="34" t="n">
        <x:v>24</x:v>
      </x:c>
      <x:c r="G31" s="35" t="n">
        <x:f>SUMIFS('Orders'!$D$5:$D$104,'Orders'!$C$5:$C$104,$A31,'Orders'!$G$5:$G$104,"Fulfilled",'Orders'!$L$5:$L$104,"OK")</x:f>
        <x:v>0</x:v>
      </x:c>
      <x:c r="H31" s="35" t="n">
        <x:f>E31+F31-G31</x:f>
        <x:v>127</x:v>
      </x:c>
      <x:c r="I31" s="34" t="n">
        <x:v>127</x:v>
      </x:c>
      <x:c r="J31" s="35" t="n">
        <x:f>I31-H31</x:f>
        <x:v>0</x:v>
      </x:c>
      <x:c r="K31" s="27" t="str">
        <x:f>IF(J31&lt;&gt;0,"INVESTIGATE",IF(I31&lt;=D31,"REORDER","MATCH"))</x:f>
        <x:v>MATCH</x:v>
      </x:c>
      <x:c r="L31" s="27" t="n">
        <x:f>COUNTIFS('Orders'!$C$5:$C$104,$A31,'Orders'!$L$5:$L$104,"OK")</x:f>
        <x:v>2</x:v>
      </x:c>
      <x:c r="M31" s="42" t="n">
        <x:v>35</x:v>
      </x:c>
    </x:row>
    <x:row r="32">
      <x:c r="A32" s="30" t="str">
        <x:v>SKU-028</x:v>
      </x:c>
      <x:c r="B32" s="30" t="str">
        <x:v>Resistance Band 6</x:v>
      </x:c>
      <x:c r="C32" s="30" t="str">
        <x:v>Fitness</x:v>
      </x:c>
      <x:c r="D32" s="34" t="n">
        <x:v>30</x:v>
      </x:c>
      <x:c r="E32" s="34" t="n">
        <x:v>114</x:v>
      </x:c>
      <x:c r="F32" s="34" t="n">
        <x:v>36</x:v>
      </x:c>
      <x:c r="G32" s="35" t="n">
        <x:f>SUMIFS('Orders'!$D$5:$D$104,'Orders'!$C$5:$C$104,$A32,'Orders'!$G$5:$G$104,"Fulfilled",'Orders'!$L$5:$L$104,"OK")</x:f>
        <x:v>6</x:v>
      </x:c>
      <x:c r="H32" s="35" t="n">
        <x:f>E32+F32-G32</x:f>
        <x:v>144</x:v>
      </x:c>
      <x:c r="I32" s="34" t="n">
        <x:v>142</x:v>
      </x:c>
      <x:c r="J32" s="35" t="n">
        <x:f>I32-H32</x:f>
        <x:v>-2</x:v>
      </x:c>
      <x:c r="K32" s="27" t="str">
        <x:f>IF(J32&lt;&gt;0,"INVESTIGATE",IF(I32&lt;=D32,"REORDER","MATCH"))</x:f>
        <x:v>INVESTIGATE</x:v>
      </x:c>
      <x:c r="L32" s="27" t="n">
        <x:f>COUNTIFS('Orders'!$C$5:$C$104,$A32,'Orders'!$L$5:$L$104,"OK")</x:f>
        <x:v>2</x:v>
      </x:c>
      <x:c r="M32" s="42" t="n">
        <x:v>39.25</x:v>
      </x:c>
    </x:row>
    <x:row r="33">
      <x:c r="A33" s="30" t="str">
        <x:v>SKU-029</x:v>
      </x:c>
      <x:c r="B33" s="30" t="str">
        <x:v>Face Serum 6</x:v>
      </x:c>
      <x:c r="C33" s="30" t="str">
        <x:v>Beauty</x:v>
      </x:c>
      <x:c r="D33" s="34" t="n">
        <x:v>18</x:v>
      </x:c>
      <x:c r="E33" s="34" t="n">
        <x:v>49</x:v>
      </x:c>
      <x:c r="F33" s="34" t="n">
        <x:v>0</x:v>
      </x:c>
      <x:c r="G33" s="35" t="n">
        <x:f>SUMIFS('Orders'!$D$5:$D$104,'Orders'!$C$5:$C$104,$A33,'Orders'!$G$5:$G$104,"Fulfilled",'Orders'!$L$5:$L$104,"OK")</x:f>
        <x:v>0</x:v>
      </x:c>
      <x:c r="H33" s="35" t="n">
        <x:f>E33+F33-G33</x:f>
        <x:v>49</x:v>
      </x:c>
      <x:c r="I33" s="34" t="n">
        <x:v>49</x:v>
      </x:c>
      <x:c r="J33" s="35" t="n">
        <x:f>I33-H33</x:f>
        <x:v>0</x:v>
      </x:c>
      <x:c r="K33" s="27" t="str">
        <x:f>IF(J33&lt;&gt;0,"INVESTIGATE",IF(I33&lt;=D33,"REORDER","MATCH"))</x:f>
        <x:v>MATCH</x:v>
      </x:c>
      <x:c r="L33" s="27" t="n">
        <x:f>COUNTIFS('Orders'!$C$5:$C$104,$A33,'Orders'!$L$5:$L$104,"OK")</x:f>
        <x:v>3</x:v>
      </x:c>
      <x:c r="M33" s="42" t="n">
        <x:v>43.5</x:v>
      </x:c>
    </x:row>
    <x:row r="34">
      <x:c r="A34" s="30" t="str">
        <x:v>SKU-030</x:v>
      </x:c>
      <x:c r="B34" s="30" t="str">
        <x:v>Desk Organiser 6</x:v>
      </x:c>
      <x:c r="C34" s="30" t="str">
        <x:v>Office</x:v>
      </x:c>
      <x:c r="D34" s="34" t="n">
        <x:v>22</x:v>
      </x:c>
      <x:c r="E34" s="34" t="n">
        <x:v>60</x:v>
      </x:c>
      <x:c r="F34" s="34" t="n">
        <x:v>12</x:v>
      </x:c>
      <x:c r="G34" s="35" t="n">
        <x:f>SUMIFS('Orders'!$D$5:$D$104,'Orders'!$C$5:$C$104,$A34,'Orders'!$G$5:$G$104,"Fulfilled",'Orders'!$L$5:$L$104,"OK")</x:f>
        <x:v>6</x:v>
      </x:c>
      <x:c r="H34" s="35" t="n">
        <x:f>E34+F34-G34</x:f>
        <x:v>66</x:v>
      </x:c>
      <x:c r="I34" s="34" t="n">
        <x:v>66</x:v>
      </x:c>
      <x:c r="J34" s="35" t="n">
        <x:f>I34-H34</x:f>
        <x:v>0</x:v>
      </x:c>
      <x:c r="K34" s="27" t="str">
        <x:f>IF(J34&lt;&gt;0,"INVESTIGATE",IF(I34&lt;=D34,"REORDER","MATCH"))</x:f>
        <x:v>MATCH</x:v>
      </x:c>
      <x:c r="L34" s="27" t="n">
        <x:f>COUNTIFS('Orders'!$C$5:$C$104,$A34,'Orders'!$L$5:$L$104,"OK")</x:f>
        <x:v>2</x:v>
      </x:c>
      <x:c r="M34" s="42" t="n">
        <x:v>47.75</x:v>
      </x:c>
    </x:row>
    <x:row r="35">
      <x:c r="A35" s="30" t="str">
        <x:v>SKU-031</x:v>
      </x:c>
      <x:c r="B35" s="30" t="str">
        <x:v>Storage Basket 7</x:v>
      </x:c>
      <x:c r="C35" s="30" t="str">
        <x:v>Home</x:v>
      </x:c>
      <x:c r="D35" s="34" t="n">
        <x:v>26</x:v>
      </x:c>
      <x:c r="E35" s="34" t="n">
        <x:v>71</x:v>
      </x:c>
      <x:c r="F35" s="34" t="n">
        <x:v>24</x:v>
      </x:c>
      <x:c r="G35" s="35" t="n">
        <x:f>SUMIFS('Orders'!$D$5:$D$104,'Orders'!$C$5:$C$104,$A35,'Orders'!$G$5:$G$104,"Fulfilled",'Orders'!$L$5:$L$104,"OK")</x:f>
        <x:v>9</x:v>
      </x:c>
      <x:c r="H35" s="35" t="n">
        <x:f>E35+F35-G35</x:f>
        <x:v>86</x:v>
      </x:c>
      <x:c r="I35" s="34" t="n">
        <x:v>86</x:v>
      </x:c>
      <x:c r="J35" s="35" t="n">
        <x:f>I35-H35</x:f>
        <x:v>0</x:v>
      </x:c>
      <x:c r="K35" s="27" t="str">
        <x:f>IF(J35&lt;&gt;0,"INVESTIGATE",IF(I35&lt;=D35,"REORDER","MATCH"))</x:f>
        <x:v>MATCH</x:v>
      </x:c>
      <x:c r="L35" s="27" t="n">
        <x:f>COUNTIFS('Orders'!$C$5:$C$104,$A35,'Orders'!$L$5:$L$104,"OK")</x:f>
        <x:v>3</x:v>
      </x:c>
      <x:c r="M35" s="42" t="n">
        <x:v>9.5</x:v>
      </x:c>
    </x:row>
    <x:row r="36">
      <x:c r="A36" s="30" t="str">
        <x:v>SKU-032</x:v>
      </x:c>
      <x:c r="B36" s="30" t="str">
        <x:v>USB-C Hub 7</x:v>
      </x:c>
      <x:c r="C36" s="30" t="str">
        <x:v>Electronics</x:v>
      </x:c>
      <x:c r="D36" s="34" t="n">
        <x:v>30</x:v>
      </x:c>
      <x:c r="E36" s="34" t="n">
        <x:v>82</x:v>
      </x:c>
      <x:c r="F36" s="34" t="n">
        <x:v>36</x:v>
      </x:c>
      <x:c r="G36" s="35" t="n">
        <x:f>SUMIFS('Orders'!$D$5:$D$104,'Orders'!$C$5:$C$104,$A36,'Orders'!$G$5:$G$104,"Fulfilled",'Orders'!$L$5:$L$104,"OK")</x:f>
        <x:v>0</x:v>
      </x:c>
      <x:c r="H36" s="35" t="n">
        <x:f>E36+F36-G36</x:f>
        <x:v>118</x:v>
      </x:c>
      <x:c r="I36" s="34" t="n">
        <x:v>118</x:v>
      </x:c>
      <x:c r="J36" s="35" t="n">
        <x:f>I36-H36</x:f>
        <x:v>0</x:v>
      </x:c>
      <x:c r="K36" s="27" t="str">
        <x:f>IF(J36&lt;&gt;0,"INVESTIGATE",IF(I36&lt;=D36,"REORDER","MATCH"))</x:f>
        <x:v>MATCH</x:v>
      </x:c>
      <x:c r="L36" s="27" t="n">
        <x:f>COUNTIFS('Orders'!$C$5:$C$104,$A36,'Orders'!$L$5:$L$104,"OK")</x:f>
        <x:v>2</x:v>
      </x:c>
      <x:c r="M36" s="42" t="n">
        <x:v>13.75</x:v>
      </x:c>
    </x:row>
    <x:row r="37">
      <x:c r="A37" s="30" t="str">
        <x:v>SKU-033</x:v>
      </x:c>
      <x:c r="B37" s="30" t="str">
        <x:v>Resistance Band 7</x:v>
      </x:c>
      <x:c r="C37" s="30" t="str">
        <x:v>Fitness</x:v>
      </x:c>
      <x:c r="D37" s="34" t="n">
        <x:v>18</x:v>
      </x:c>
      <x:c r="E37" s="34" t="n">
        <x:v>93</x:v>
      </x:c>
      <x:c r="F37" s="34" t="n">
        <x:v>0</x:v>
      </x:c>
      <x:c r="G37" s="35" t="n">
        <x:f>SUMIFS('Orders'!$D$5:$D$104,'Orders'!$C$5:$C$104,$A37,'Orders'!$G$5:$G$104,"Fulfilled",'Orders'!$L$5:$L$104,"OK")</x:f>
        <x:v>9</x:v>
      </x:c>
      <x:c r="H37" s="35" t="n">
        <x:f>E37+F37-G37</x:f>
        <x:v>84</x:v>
      </x:c>
      <x:c r="I37" s="34" t="n">
        <x:v>84</x:v>
      </x:c>
      <x:c r="J37" s="35" t="n">
        <x:f>I37-H37</x:f>
        <x:v>0</x:v>
      </x:c>
      <x:c r="K37" s="27" t="str">
        <x:f>IF(J37&lt;&gt;0,"INVESTIGATE",IF(I37&lt;=D37,"REORDER","MATCH"))</x:f>
        <x:v>MATCH</x:v>
      </x:c>
      <x:c r="L37" s="27" t="n">
        <x:f>COUNTIFS('Orders'!$C$5:$C$104,$A37,'Orders'!$L$5:$L$104,"OK")</x:f>
        <x:v>3</x:v>
      </x:c>
      <x:c r="M37" s="42" t="n">
        <x:v>18</x:v>
      </x:c>
    </x:row>
    <x:row r="38">
      <x:c r="A38" s="30" t="str">
        <x:v>SKU-034</x:v>
      </x:c>
      <x:c r="B38" s="30" t="str">
        <x:v>Face Serum 7</x:v>
      </x:c>
      <x:c r="C38" s="30" t="str">
        <x:v>Beauty</x:v>
      </x:c>
      <x:c r="D38" s="34" t="n">
        <x:v>26</x:v>
      </x:c>
      <x:c r="E38" s="34" t="n">
        <x:v>18</x:v>
      </x:c>
      <x:c r="F38" s="34" t="n">
        <x:v>0</x:v>
      </x:c>
      <x:c r="G38" s="35" t="n">
        <x:f>SUMIFS('Orders'!$D$5:$D$104,'Orders'!$C$5:$C$104,$A38,'Orders'!$G$5:$G$104,"Fulfilled",'Orders'!$L$5:$L$104,"OK")</x:f>
        <x:v>0</x:v>
      </x:c>
      <x:c r="H38" s="35" t="n">
        <x:f>E38+F38-G38</x:f>
        <x:v>18</x:v>
      </x:c>
      <x:c r="I38" s="34" t="n">
        <x:v>18</x:v>
      </x:c>
      <x:c r="J38" s="35" t="n">
        <x:f>I38-H38</x:f>
        <x:v>0</x:v>
      </x:c>
      <x:c r="K38" s="27" t="str">
        <x:f>IF(J38&lt;&gt;0,"INVESTIGATE",IF(I38&lt;=D38,"REORDER","MATCH"))</x:f>
        <x:v>REORDER</x:v>
      </x:c>
      <x:c r="L38" s="27" t="n">
        <x:f>COUNTIFS('Orders'!$C$5:$C$104,$A38,'Orders'!$L$5:$L$104,"OK")</x:f>
        <x:v>1</x:v>
      </x:c>
      <x:c r="M38" s="42" t="n">
        <x:v>22.25</x:v>
      </x:c>
    </x:row>
    <x:row r="39">
      <x:c r="A39" s="30" t="str">
        <x:v>SKU-035</x:v>
      </x:c>
      <x:c r="B39" s="30" t="str">
        <x:v>Desk Organiser 7</x:v>
      </x:c>
      <x:c r="C39" s="30" t="str">
        <x:v>Office</x:v>
      </x:c>
      <x:c r="D39" s="34" t="n">
        <x:v>26</x:v>
      </x:c>
      <x:c r="E39" s="34" t="n">
        <x:v>115</x:v>
      </x:c>
      <x:c r="F39" s="34" t="n">
        <x:v>24</x:v>
      </x:c>
      <x:c r="G39" s="35" t="n">
        <x:f>SUMIFS('Orders'!$D$5:$D$104,'Orders'!$C$5:$C$104,$A39,'Orders'!$G$5:$G$104,"Fulfilled",'Orders'!$L$5:$L$104,"OK")</x:f>
        <x:v>8</x:v>
      </x:c>
      <x:c r="H39" s="35" t="n">
        <x:f>E39+F39-G39</x:f>
        <x:v>131</x:v>
      </x:c>
      <x:c r="I39" s="34" t="n">
        <x:v>131</x:v>
      </x:c>
      <x:c r="J39" s="35" t="n">
        <x:f>I39-H39</x:f>
        <x:v>0</x:v>
      </x:c>
      <x:c r="K39" s="27" t="str">
        <x:f>IF(J39&lt;&gt;0,"INVESTIGATE",IF(I39&lt;=D39,"REORDER","MATCH"))</x:f>
        <x:v>MATCH</x:v>
      </x:c>
      <x:c r="L39" s="27" t="n">
        <x:f>COUNTIFS('Orders'!$C$5:$C$104,$A39,'Orders'!$L$5:$L$104,"OK")</x:f>
        <x:v>2</x:v>
      </x:c>
      <x:c r="M39" s="42" t="n">
        <x:v>26.5</x:v>
      </x:c>
    </x:row>
    <x:row r="40">
      <x:c r="A40" s="30" t="str">
        <x:v>SKU-036</x:v>
      </x:c>
      <x:c r="B40" s="30" t="str">
        <x:v>Storage Basket 8</x:v>
      </x:c>
      <x:c r="C40" s="30" t="str">
        <x:v>Home</x:v>
      </x:c>
      <x:c r="D40" s="34" t="n">
        <x:v>30</x:v>
      </x:c>
      <x:c r="E40" s="34" t="n">
        <x:v>50</x:v>
      </x:c>
      <x:c r="F40" s="34" t="n">
        <x:v>36</x:v>
      </x:c>
      <x:c r="G40" s="35" t="n">
        <x:f>SUMIFS('Orders'!$D$5:$D$104,'Orders'!$C$5:$C$104,$A40,'Orders'!$G$5:$G$104,"Fulfilled",'Orders'!$L$5:$L$104,"OK")</x:f>
        <x:v>12</x:v>
      </x:c>
      <x:c r="H40" s="35" t="n">
        <x:f>E40+F40-G40</x:f>
        <x:v>74</x:v>
      </x:c>
      <x:c r="I40" s="34" t="n">
        <x:v>79</x:v>
      </x:c>
      <x:c r="J40" s="35" t="n">
        <x:f>I40-H40</x:f>
        <x:v>5</x:v>
      </x:c>
      <x:c r="K40" s="27" t="str">
        <x:f>IF(J40&lt;&gt;0,"INVESTIGATE",IF(I40&lt;=D40,"REORDER","MATCH"))</x:f>
        <x:v>INVESTIGATE</x:v>
      </x:c>
      <x:c r="L40" s="27" t="n">
        <x:f>COUNTIFS('Orders'!$C$5:$C$104,$A40,'Orders'!$L$5:$L$104,"OK")</x:f>
        <x:v>3</x:v>
      </x:c>
      <x:c r="M40" s="42" t="n">
        <x:v>30.75</x:v>
      </x:c>
    </x:row>
    <x:row r="41">
      <x:c r="A41" s="30" t="str">
        <x:v>SKU-037</x:v>
      </x:c>
      <x:c r="B41" s="30" t="str">
        <x:v>USB-C Hub 8</x:v>
      </x:c>
      <x:c r="C41" s="30" t="str">
        <x:v>Electronics</x:v>
      </x:c>
      <x:c r="D41" s="34" t="n">
        <x:v>18</x:v>
      </x:c>
      <x:c r="E41" s="34" t="n">
        <x:v>61</x:v>
      </x:c>
      <x:c r="F41" s="34" t="n">
        <x:v>0</x:v>
      </x:c>
      <x:c r="G41" s="35" t="n">
        <x:f>SUMIFS('Orders'!$D$5:$D$104,'Orders'!$C$5:$C$104,$A41,'Orders'!$G$5:$G$104,"Fulfilled",'Orders'!$L$5:$L$104,"OK")</x:f>
        <x:v>0</x:v>
      </x:c>
      <x:c r="H41" s="35" t="n">
        <x:f>E41+F41-G41</x:f>
        <x:v>61</x:v>
      </x:c>
      <x:c r="I41" s="34" t="n">
        <x:v>61</x:v>
      </x:c>
      <x:c r="J41" s="35" t="n">
        <x:f>I41-H41</x:f>
        <x:v>0</x:v>
      </x:c>
      <x:c r="K41" s="27" t="str">
        <x:f>IF(J41&lt;&gt;0,"INVESTIGATE",IF(I41&lt;=D41,"REORDER","MATCH"))</x:f>
        <x:v>MATCH</x:v>
      </x:c>
      <x:c r="L41" s="27" t="n">
        <x:f>COUNTIFS('Orders'!$C$5:$C$104,$A41,'Orders'!$L$5:$L$104,"OK")</x:f>
        <x:v>2</x:v>
      </x:c>
      <x:c r="M41" s="42" t="n">
        <x:v>35</x:v>
      </x:c>
    </x:row>
    <x:row r="42">
      <x:c r="A42" s="30" t="str">
        <x:v>SKU-038</x:v>
      </x:c>
      <x:c r="B42" s="30" t="str">
        <x:v>Resistance Band 8</x:v>
      </x:c>
      <x:c r="C42" s="30" t="str">
        <x:v>Fitness</x:v>
      </x:c>
      <x:c r="D42" s="34" t="n">
        <x:v>22</x:v>
      </x:c>
      <x:c r="E42" s="34" t="n">
        <x:v>72</x:v>
      </x:c>
      <x:c r="F42" s="34" t="n">
        <x:v>12</x:v>
      </x:c>
      <x:c r="G42" s="35" t="n">
        <x:f>SUMIFS('Orders'!$D$5:$D$104,'Orders'!$C$5:$C$104,$A42,'Orders'!$G$5:$G$104,"Fulfilled",'Orders'!$L$5:$L$104,"OK")</x:f>
        <x:v>12</x:v>
      </x:c>
      <x:c r="H42" s="35" t="n">
        <x:f>E42+F42-G42</x:f>
        <x:v>72</x:v>
      </x:c>
      <x:c r="I42" s="34" t="n">
        <x:v>72</x:v>
      </x:c>
      <x:c r="J42" s="35" t="n">
        <x:f>I42-H42</x:f>
        <x:v>0</x:v>
      </x:c>
      <x:c r="K42" s="27" t="str">
        <x:f>IF(J42&lt;&gt;0,"INVESTIGATE",IF(I42&lt;=D42,"REORDER","MATCH"))</x:f>
        <x:v>MATCH</x:v>
      </x:c>
      <x:c r="L42" s="27" t="n">
        <x:f>COUNTIFS('Orders'!$C$5:$C$104,$A42,'Orders'!$L$5:$L$104,"OK")</x:f>
        <x:v>3</x:v>
      </x:c>
      <x:c r="M42" s="42" t="n">
        <x:v>39.25</x:v>
      </x:c>
    </x:row>
    <x:row r="43">
      <x:c r="A43" s="30" t="str">
        <x:v>SKU-039</x:v>
      </x:c>
      <x:c r="B43" s="30" t="str">
        <x:v>Face Serum 8</x:v>
      </x:c>
      <x:c r="C43" s="30" t="str">
        <x:v>Beauty</x:v>
      </x:c>
      <x:c r="D43" s="34" t="n">
        <x:v>26</x:v>
      </x:c>
      <x:c r="E43" s="34" t="n">
        <x:v>83</x:v>
      </x:c>
      <x:c r="F43" s="34" t="n">
        <x:v>24</x:v>
      </x:c>
      <x:c r="G43" s="35" t="n">
        <x:f>SUMIFS('Orders'!$D$5:$D$104,'Orders'!$C$5:$C$104,$A43,'Orders'!$G$5:$G$104,"Fulfilled",'Orders'!$L$5:$L$104,"OK")</x:f>
        <x:v>0</x:v>
      </x:c>
      <x:c r="H43" s="35" t="n">
        <x:f>E43+F43-G43</x:f>
        <x:v>107</x:v>
      </x:c>
      <x:c r="I43" s="34" t="n">
        <x:v>107</x:v>
      </x:c>
      <x:c r="J43" s="35" t="n">
        <x:f>I43-H43</x:f>
        <x:v>0</x:v>
      </x:c>
      <x:c r="K43" s="27" t="str">
        <x:f>IF(J43&lt;&gt;0,"INVESTIGATE",IF(I43&lt;=D43,"REORDER","MATCH"))</x:f>
        <x:v>MATCH</x:v>
      </x:c>
      <x:c r="L43" s="27" t="n">
        <x:f>COUNTIFS('Orders'!$C$5:$C$104,$A43,'Orders'!$L$5:$L$104,"OK")</x:f>
        <x:v>2</x:v>
      </x:c>
      <x:c r="M43" s="42" t="n">
        <x:v>43.5</x:v>
      </x:c>
    </x:row>
    <x:row r="44">
      <x:c r="A44" s="31" t="str">
        <x:v>SKU-040</x:v>
      </x:c>
      <x:c r="B44" s="31" t="str">
        <x:v>Desk Organiser 8</x:v>
      </x:c>
      <x:c r="C44" s="31" t="str">
        <x:v>Office</x:v>
      </x:c>
      <x:c r="D44" s="36" t="n">
        <x:v>30</x:v>
      </x:c>
      <x:c r="E44" s="36" t="n">
        <x:v>94</x:v>
      </x:c>
      <x:c r="F44" s="36" t="n">
        <x:v>36</x:v>
      </x:c>
      <x:c r="G44" s="37" t="n">
        <x:f>SUMIFS('Orders'!$D$5:$D$104,'Orders'!$C$5:$C$104,$A44,'Orders'!$G$5:$G$104,"Fulfilled",'Orders'!$L$5:$L$104,"OK")</x:f>
        <x:v>12</x:v>
      </x:c>
      <x:c r="H44" s="37" t="n">
        <x:f>E44+F44-G44</x:f>
        <x:v>118</x:v>
      </x:c>
      <x:c r="I44" s="36" t="n">
        <x:v>118</x:v>
      </x:c>
      <x:c r="J44" s="37" t="n">
        <x:f>I44-H44</x:f>
        <x:v>0</x:v>
      </x:c>
      <x:c r="K44" s="28" t="str">
        <x:f>IF(J44&lt;&gt;0,"INVESTIGATE",IF(I44&lt;=D44,"REORDER","MATCH"))</x:f>
        <x:v>MATCH</x:v>
      </x:c>
      <x:c r="L44" s="28" t="n">
        <x:f>COUNTIFS('Orders'!$C$5:$C$104,$A44,'Orders'!$L$5:$L$104,"OK")</x:f>
        <x:v>3</x:v>
      </x:c>
      <x:c r="M44" s="43" t="n">
        <x:v>47.75</x:v>
      </x:c>
    </x:row>
  </x:sheetData>
  <x:mergeCells>
    <x:mergeCell ref="A1:M1"/>
    <x:mergeCell ref="A2:M2"/>
  </x:mergeCells>
  <x:conditionalFormatting sqref="J5:J44">
    <x:cfRule type="cellIs" dxfId="0" priority="1" operator="notEqual">
      <x:formula>0</x:formula>
    </x:cfRule>
  </x:conditionalFormatting>
  <x:conditionalFormatting sqref="K5:K44">
    <x:cfRule type="containsText" dxfId="1" priority="2" operator="containsText" text="MATCH"/>
    <x:cfRule type="containsText" dxfId="2" priority="3" operator="containsText" text="REORDER"/>
    <x:cfRule type="containsText" dxfId="3" priority="4" operator="containsText" text="INVESTIGATE"/>
  </x:conditionalFormatting>
  <x:pageMargins left="0.7" right="0.7" top="0.75" bottom="0.75" header="0.3" footer="0.3"/>
  <x:tableParts count="1">
    <x:tablePart xmlns:r="http://schemas.openxmlformats.org/officeDocument/2006/relationships" r:id="Rf118a93d8ab04d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0" hidden="0" customWidth="1"/>
    <x:col min="5" max="5" width="12" hidden="0" customWidth="1"/>
    <x:col min="6" max="6" width="16" hidden="0" customWidth="1"/>
    <x:col min="7" max="7" width="13" hidden="0" customWidth="1"/>
    <x:col min="8" max="8" width="10" hidden="0" customWidth="1"/>
    <x:col min="9" max="9" width="11" hidden="0" customWidth="1"/>
    <x:col min="10" max="10" width="13" hidden="0" customWidth="1"/>
    <x:col min="11" max="11" width="14" hidden="0" customWidth="1"/>
    <x:col min="12" max="12" width="15" hidden="0" customWidth="1"/>
  </x:cols>
  <x:sheetData>
    <x:row r="1" ht="34" customHeight="1">
      <x:c r="A1" s="4" t="str">
        <x:v>Orders and Data-Quality Controls</x:v>
      </x:c>
      <x:c r="B1" s="4" t="str">
        <x:v>Orders and Data-Quality Controls</x:v>
      </x:c>
      <x:c r="C1" s="4" t="str">
        <x:v>Orders and Data-Quality Controls</x:v>
      </x:c>
      <x:c r="D1" s="4" t="str">
        <x:v>Orders and Data-Quality Controls</x:v>
      </x:c>
      <x:c r="E1" s="4" t="str">
        <x:v>Orders and Data-Quality Controls</x:v>
      </x:c>
      <x:c r="F1" s="4" t="str">
        <x:v>Orders and Data-Quality Controls</x:v>
      </x:c>
      <x:c r="G1" s="4" t="str">
        <x:v>Orders and Data-Quality Controls</x:v>
      </x:c>
      <x:c r="H1" s="4" t="str">
        <x:v>Orders and Data-Quality Controls</x:v>
      </x:c>
      <x:c r="I1" s="4" t="str">
        <x:v>Orders and Data-Quality Controls</x:v>
      </x:c>
      <x:c r="J1" s="4" t="str">
        <x:v>Orders and Data-Quality Controls</x:v>
      </x:c>
      <x:c r="K1" s="4" t="str">
        <x:v>Orders and Data-Quality Controls</x:v>
      </x:c>
      <x:c r="L1" s="4" t="str">
        <x:v>Orders and Data-Quality Controls</x:v>
      </x:c>
    </x:row>
    <x:row r="2">
      <x:c r="A2" s="7" t="str">
        <x:v>Synthetic order records. Formula columns validate IDs, SKUs, required fields and calculated order value before reporting.</x:v>
      </x:c>
      <x:c r="B2" s="7" t="str">
        <x:v>Synthetic order records. Formula columns validate IDs, SKUs, required fields and calculated order value before reporting.</x:v>
      </x:c>
      <x:c r="C2" s="7" t="str">
        <x:v>Synthetic order records. Formula columns validate IDs, SKUs, required fields and calculated order value before reporting.</x:v>
      </x:c>
      <x:c r="D2" s="7" t="str">
        <x:v>Synthetic order records. Formula columns validate IDs, SKUs, required fields and calculated order value before reporting.</x:v>
      </x:c>
      <x:c r="E2" s="7" t="str">
        <x:v>Synthetic order records. Formula columns validate IDs, SKUs, required fields and calculated order value before reporting.</x:v>
      </x:c>
      <x:c r="F2" s="7" t="str">
        <x:v>Synthetic order records. Formula columns validate IDs, SKUs, required fields and calculated order value before reporting.</x:v>
      </x:c>
      <x:c r="G2" s="7" t="str">
        <x:v>Synthetic order records. Formula columns validate IDs, SKUs, required fields and calculated order value before reporting.</x:v>
      </x:c>
      <x:c r="H2" s="7" t="str">
        <x:v>Synthetic order records. Formula columns validate IDs, SKUs, required fields and calculated order value before reporting.</x:v>
      </x:c>
      <x:c r="I2" s="7" t="str">
        <x:v>Synthetic order records. Formula columns validate IDs, SKUs, required fields and calculated order value before reporting.</x:v>
      </x:c>
      <x:c r="J2" s="7" t="str">
        <x:v>Synthetic order records. Formula columns validate IDs, SKUs, required fields and calculated order value before reporting.</x:v>
      </x:c>
      <x:c r="K2" s="7" t="str">
        <x:v>Synthetic order records. Formula columns validate IDs, SKUs, required fields and calculated order value before reporting.</x:v>
      </x:c>
      <x:c r="L2" s="7" t="str">
        <x:v>Synthetic order records. Formula columns validate IDs, SKUs, required fields and calculated order value before reporting.</x:v>
      </x:c>
    </x:row>
    <x:row r="4" ht="30" customHeight="1">
      <x:c r="A4" s="19" t="str">
        <x:v>Order ID</x:v>
      </x:c>
      <x:c r="B4" s="20" t="str">
        <x:v>Order Date</x:v>
      </x:c>
      <x:c r="C4" s="20" t="str">
        <x:v>SKU</x:v>
      </x:c>
      <x:c r="D4" s="20" t="str">
        <x:v>Quantity</x:v>
      </x:c>
      <x:c r="E4" s="20" t="str">
        <x:v>Unit Price</x:v>
      </x:c>
      <x:c r="F4" s="20" t="str">
        <x:v>Region</x:v>
      </x:c>
      <x:c r="G4" s="20" t="str">
        <x:v>Status</x:v>
      </x:c>
      <x:c r="H4" s="20" t="str">
        <x:v>ID Count</x:v>
      </x:c>
      <x:c r="I4" s="20" t="str">
        <x:v>SKU Match</x:v>
      </x:c>
      <x:c r="J4" s="20" t="str">
        <x:v>Line Value</x:v>
      </x:c>
      <x:c r="K4" s="20" t="str">
        <x:v>Required Fields</x:v>
      </x:c>
      <x:c r="L4" s="21" t="str">
        <x:v>Record Status</x:v>
      </x:c>
    </x:row>
    <x:row r="5">
      <x:c r="A5" s="29" t="str">
        <x:v>ORD-0001</x:v>
      </x:c>
      <x:c r="B5" s="38" t="n">
        <x:v>46235</x:v>
      </x:c>
      <x:c r="C5" s="29" t="str">
        <x:v>SKU-001</x:v>
      </x:c>
      <x:c r="D5" s="32" t="n">
        <x:v>1</x:v>
      </x:c>
      <x:c r="E5" s="44" t="n">
        <x:f>IFERROR(INDEX('Products'!$M$5:$M$44,MATCH(C5,'Products'!$A$5:$A$44,0)),0)</x:f>
        <x:v>9.5</x:v>
      </x:c>
      <x:c r="F5" s="29" t="str">
        <x:v>North West</x:v>
      </x:c>
      <x:c r="G5" s="29" t="str">
        <x:v>Fulfilled</x:v>
      </x:c>
      <x:c r="H5" s="33" t="n">
        <x:f>COUNTIF($A$5:$A$104,A5)</x:f>
        <x:v>1</x:v>
      </x:c>
      <x:c r="I5" s="33" t="n">
        <x:f>COUNTIF('Products'!$A$5:$A$44,C5)</x:f>
        <x:v>1</x:v>
      </x:c>
      <x:c r="J5" s="44" t="n">
        <x:f>IFERROR(D5*E5,0)</x:f>
        <x:v>9.5</x:v>
      </x:c>
      <x:c r="K5" s="26" t="str">
        <x:f>IF(OR(A5="",B5="",C5="",D5&lt;=0,G5=""),"CHECK","OK")</x:f>
        <x:v>OK</x:v>
      </x:c>
      <x:c r="L5" s="26" t="str">
        <x:f>IF(H5&gt;1,"DUPLICATE",IF(I5=0,"INVALID SKU",IF(K5="CHECK","INCOMPLETE","OK")))</x:f>
        <x:v>OK</x:v>
      </x:c>
    </x:row>
    <x:row r="6">
      <x:c r="A6" s="30" t="str">
        <x:v>ORD-0002</x:v>
      </x:c>
      <x:c r="B6" s="39" t="n">
        <x:v>46236</x:v>
      </x:c>
      <x:c r="C6" s="30" t="str">
        <x:v>SKU-008</x:v>
      </x:c>
      <x:c r="D6" s="34" t="n">
        <x:v>2</x:v>
      </x:c>
      <x:c r="E6" s="45" t="n">
        <x:f>IFERROR(INDEX('Products'!$M$5:$M$44,MATCH(C6,'Products'!$A$5:$A$44,0)),0)</x:f>
        <x:v>39.25</x:v>
      </x:c>
      <x:c r="F6" s="30" t="str">
        <x:v>Yorkshire</x:v>
      </x:c>
      <x:c r="G6" s="30" t="str">
        <x:v>Fulfilled</x:v>
      </x:c>
      <x:c r="H6" s="35" t="n">
        <x:f>COUNTIF($A$5:$A$104,A6)</x:f>
        <x:v>1</x:v>
      </x:c>
      <x:c r="I6" s="35" t="n">
        <x:f>COUNTIF('Products'!$A$5:$A$44,C6)</x:f>
        <x:v>1</x:v>
      </x:c>
      <x:c r="J6" s="45" t="n">
        <x:f>IFERROR(D6*E6,0)</x:f>
        <x:v>78.5</x:v>
      </x:c>
      <x:c r="K6" s="27" t="str">
        <x:f>IF(OR(A6="",B6="",C6="",D6&lt;=0,G6=""),"CHECK","OK")</x:f>
        <x:v>OK</x:v>
      </x:c>
      <x:c r="L6" s="27" t="str">
        <x:f>IF(H6&gt;1,"DUPLICATE",IF(I6=0,"INVALID SKU",IF(K6="CHECK","INCOMPLETE","OK")))</x:f>
        <x:v>OK</x:v>
      </x:c>
    </x:row>
    <x:row r="7">
      <x:c r="A7" s="30" t="str">
        <x:v>ORD-0003</x:v>
      </x:c>
      <x:c r="B7" s="39" t="n">
        <x:v>46237</x:v>
      </x:c>
      <x:c r="C7" s="30" t="str">
        <x:v>SKU-015</x:v>
      </x:c>
      <x:c r="D7" s="34" t="n">
        <x:v>3</x:v>
      </x:c>
      <x:c r="E7" s="45" t="n">
        <x:f>IFERROR(INDEX('Products'!$M$5:$M$44,MATCH(C7,'Products'!$A$5:$A$44,0)),0)</x:f>
        <x:v>26.5</x:v>
      </x:c>
      <x:c r="F7" s="30" t="str">
        <x:v>Midlands</x:v>
      </x:c>
      <x:c r="G7" s="30" t="str">
        <x:v>Fulfilled</x:v>
      </x:c>
      <x:c r="H7" s="35" t="n">
        <x:f>COUNTIF($A$5:$A$104,A7)</x:f>
        <x:v>1</x:v>
      </x:c>
      <x:c r="I7" s="35" t="n">
        <x:f>COUNTIF('Products'!$A$5:$A$44,C7)</x:f>
        <x:v>1</x:v>
      </x:c>
      <x:c r="J7" s="45" t="n">
        <x:f>IFERROR(D7*E7,0)</x:f>
        <x:v>79.5</x:v>
      </x:c>
      <x:c r="K7" s="27" t="str">
        <x:f>IF(OR(A7="",B7="",C7="",D7&lt;=0,G7=""),"CHECK","OK")</x:f>
        <x:v>OK</x:v>
      </x:c>
      <x:c r="L7" s="27" t="str">
        <x:f>IF(H7&gt;1,"DUPLICATE",IF(I7=0,"INVALID SKU",IF(K7="CHECK","INCOMPLETE","OK")))</x:f>
        <x:v>OK</x:v>
      </x:c>
    </x:row>
    <x:row r="8">
      <x:c r="A8" s="30" t="str">
        <x:v>ORD-0004</x:v>
      </x:c>
      <x:c r="B8" s="39" t="n">
        <x:v>46238</x:v>
      </x:c>
      <x:c r="C8" s="30" t="str">
        <x:v>SKU-022</x:v>
      </x:c>
      <x:c r="D8" s="34" t="n">
        <x:v>4</x:v>
      </x:c>
      <x:c r="E8" s="45" t="n">
        <x:f>IFERROR(INDEX('Products'!$M$5:$M$44,MATCH(C8,'Products'!$A$5:$A$44,0)),0)</x:f>
        <x:v>13.75</x:v>
      </x:c>
      <x:c r="F8" s="30" t="str">
        <x:v>London</x:v>
      </x:c>
      <x:c r="G8" s="30" t="str">
        <x:v>Processing</x:v>
      </x:c>
      <x:c r="H8" s="35" t="n">
        <x:f>COUNTIF($A$5:$A$104,A8)</x:f>
        <x:v>1</x:v>
      </x:c>
      <x:c r="I8" s="35" t="n">
        <x:f>COUNTIF('Products'!$A$5:$A$44,C8)</x:f>
        <x:v>1</x:v>
      </x:c>
      <x:c r="J8" s="45" t="n">
        <x:f>IFERROR(D8*E8,0)</x:f>
        <x:v>55</x:v>
      </x:c>
      <x:c r="K8" s="27" t="str">
        <x:f>IF(OR(A8="",B8="",C8="",D8&lt;=0,G8=""),"CHECK","OK")</x:f>
        <x:v>OK</x:v>
      </x:c>
      <x:c r="L8" s="27" t="str">
        <x:f>IF(H8&gt;1,"DUPLICATE",IF(I8=0,"INVALID SKU",IF(K8="CHECK","INCOMPLETE","OK")))</x:f>
        <x:v>OK</x:v>
      </x:c>
    </x:row>
    <x:row r="9">
      <x:c r="A9" s="30" t="str">
        <x:v>ORD-0005</x:v>
      </x:c>
      <x:c r="B9" s="39" t="n">
        <x:v>46239</x:v>
      </x:c>
      <x:c r="C9" s="30" t="str">
        <x:v>SKU-029</x:v>
      </x:c>
      <x:c r="D9" s="34" t="n">
        <x:v>5</x:v>
      </x:c>
      <x:c r="E9" s="45" t="n">
        <x:f>IFERROR(INDEX('Products'!$M$5:$M$44,MATCH(C9,'Products'!$A$5:$A$44,0)),0)</x:f>
        <x:v>43.5</x:v>
      </x:c>
      <x:c r="F9" s="30" t="str">
        <x:v>Scotland</x:v>
      </x:c>
      <x:c r="G9" s="30" t="str">
        <x:v>Cancelled</x:v>
      </x:c>
      <x:c r="H9" s="35" t="n">
        <x:f>COUNTIF($A$5:$A$104,A9)</x:f>
        <x:v>1</x:v>
      </x:c>
      <x:c r="I9" s="35" t="n">
        <x:f>COUNTIF('Products'!$A$5:$A$44,C9)</x:f>
        <x:v>1</x:v>
      </x:c>
      <x:c r="J9" s="45" t="n">
        <x:f>IFERROR(D9*E9,0)</x:f>
        <x:v>217.5</x:v>
      </x:c>
      <x:c r="K9" s="27" t="str">
        <x:f>IF(OR(A9="",B9="",C9="",D9&lt;=0,G9=""),"CHECK","OK")</x:f>
        <x:v>OK</x:v>
      </x:c>
      <x:c r="L9" s="27" t="str">
        <x:f>IF(H9&gt;1,"DUPLICATE",IF(I9=0,"INVALID SKU",IF(K9="CHECK","INCOMPLETE","OK")))</x:f>
        <x:v>OK</x:v>
      </x:c>
    </x:row>
    <x:row r="10">
      <x:c r="A10" s="30" t="str">
        <x:v>ORD-0006</x:v>
      </x:c>
      <x:c r="B10" s="39" t="n">
        <x:v>46240</x:v>
      </x:c>
      <x:c r="C10" s="30" t="str">
        <x:v>SKU-036</x:v>
      </x:c>
      <x:c r="D10" s="34" t="n">
        <x:v>6</x:v>
      </x:c>
      <x:c r="E10" s="45" t="n">
        <x:f>IFERROR(INDEX('Products'!$M$5:$M$44,MATCH(C10,'Products'!$A$5:$A$44,0)),0)</x:f>
        <x:v>30.75</x:v>
      </x:c>
      <x:c r="F10" s="30" t="str">
        <x:v>North West</x:v>
      </x:c>
      <x:c r="G10" s="30" t="str">
        <x:v>Fulfilled</x:v>
      </x:c>
      <x:c r="H10" s="35" t="n">
        <x:f>COUNTIF($A$5:$A$104,A10)</x:f>
        <x:v>1</x:v>
      </x:c>
      <x:c r="I10" s="35" t="n">
        <x:f>COUNTIF('Products'!$A$5:$A$44,C10)</x:f>
        <x:v>1</x:v>
      </x:c>
      <x:c r="J10" s="45" t="n">
        <x:f>IFERROR(D10*E10,0)</x:f>
        <x:v>184.5</x:v>
      </x:c>
      <x:c r="K10" s="27" t="str">
        <x:f>IF(OR(A10="",B10="",C10="",D10&lt;=0,G10=""),"CHECK","OK")</x:f>
        <x:v>OK</x:v>
      </x:c>
      <x:c r="L10" s="27" t="str">
        <x:f>IF(H10&gt;1,"DUPLICATE",IF(I10=0,"INVALID SKU",IF(K10="CHECK","INCOMPLETE","OK")))</x:f>
        <x:v>OK</x:v>
      </x:c>
    </x:row>
    <x:row r="11">
      <x:c r="A11" s="30" t="str">
        <x:v>ORD-0007</x:v>
      </x:c>
      <x:c r="B11" s="39" t="n">
        <x:v>46241</x:v>
      </x:c>
      <x:c r="C11" s="30" t="str">
        <x:v>SKU-003</x:v>
      </x:c>
      <x:c r="D11" s="34" t="n">
        <x:v>1</x:v>
      </x:c>
      <x:c r="E11" s="45" t="n">
        <x:f>IFERROR(INDEX('Products'!$M$5:$M$44,MATCH(C11,'Products'!$A$5:$A$44,0)),0)</x:f>
        <x:v>18</x:v>
      </x:c>
      <x:c r="F11" s="30" t="str">
        <x:v>Yorkshire</x:v>
      </x:c>
      <x:c r="G11" s="30" t="str">
        <x:v>Fulfilled</x:v>
      </x:c>
      <x:c r="H11" s="35" t="n">
        <x:f>COUNTIF($A$5:$A$104,A11)</x:f>
        <x:v>1</x:v>
      </x:c>
      <x:c r="I11" s="35" t="n">
        <x:f>COUNTIF('Products'!$A$5:$A$44,C11)</x:f>
        <x:v>1</x:v>
      </x:c>
      <x:c r="J11" s="45" t="n">
        <x:f>IFERROR(D11*E11,0)</x:f>
        <x:v>18</x:v>
      </x:c>
      <x:c r="K11" s="27" t="str">
        <x:f>IF(OR(A11="",B11="",C11="",D11&lt;=0,G11=""),"CHECK","OK")</x:f>
        <x:v>OK</x:v>
      </x:c>
      <x:c r="L11" s="27" t="str">
        <x:f>IF(H11&gt;1,"DUPLICATE",IF(I11=0,"INVALID SKU",IF(K11="CHECK","INCOMPLETE","OK")))</x:f>
        <x:v>OK</x:v>
      </x:c>
    </x:row>
    <x:row r="12">
      <x:c r="A12" s="30" t="str">
        <x:v>ORD-0008</x:v>
      </x:c>
      <x:c r="B12" s="39" t="n">
        <x:v>46242</x:v>
      </x:c>
      <x:c r="C12" s="30" t="str">
        <x:v>SKU-010</x:v>
      </x:c>
      <x:c r="D12" s="34" t="n">
        <x:v>2</x:v>
      </x:c>
      <x:c r="E12" s="45" t="n">
        <x:f>IFERROR(INDEX('Products'!$M$5:$M$44,MATCH(C12,'Products'!$A$5:$A$44,0)),0)</x:f>
        <x:v>47.75</x:v>
      </x:c>
      <x:c r="F12" s="30" t="str">
        <x:v>Midlands</x:v>
      </x:c>
      <x:c r="G12" s="30" t="str">
        <x:v>Fulfilled</x:v>
      </x:c>
      <x:c r="H12" s="35" t="n">
        <x:f>COUNTIF($A$5:$A$104,A12)</x:f>
        <x:v>1</x:v>
      </x:c>
      <x:c r="I12" s="35" t="n">
        <x:f>COUNTIF('Products'!$A$5:$A$44,C12)</x:f>
        <x:v>1</x:v>
      </x:c>
      <x:c r="J12" s="45" t="n">
        <x:f>IFERROR(D12*E12,0)</x:f>
        <x:v>95.5</x:v>
      </x:c>
      <x:c r="K12" s="27" t="str">
        <x:f>IF(OR(A12="",B12="",C12="",D12&lt;=0,G12=""),"CHECK","OK")</x:f>
        <x:v>OK</x:v>
      </x:c>
      <x:c r="L12" s="27" t="str">
        <x:f>IF(H12&gt;1,"DUPLICATE",IF(I12=0,"INVALID SKU",IF(K12="CHECK","INCOMPLETE","OK")))</x:f>
        <x:v>OK</x:v>
      </x:c>
    </x:row>
    <x:row r="13">
      <x:c r="A13" s="30" t="str">
        <x:v>ORD-0009</x:v>
      </x:c>
      <x:c r="B13" s="39" t="n">
        <x:v>46243</x:v>
      </x:c>
      <x:c r="C13" s="30" t="str">
        <x:v>SKU-017</x:v>
      </x:c>
      <x:c r="D13" s="34" t="n">
        <x:v>3</x:v>
      </x:c>
      <x:c r="E13" s="45" t="n">
        <x:f>IFERROR(INDEX('Products'!$M$5:$M$44,MATCH(C13,'Products'!$A$5:$A$44,0)),0)</x:f>
        <x:v>35</x:v>
      </x:c>
      <x:c r="F13" s="30" t="str">
        <x:v>London</x:v>
      </x:c>
      <x:c r="G13" s="30" t="str">
        <x:v>Processing</x:v>
      </x:c>
      <x:c r="H13" s="35" t="n">
        <x:f>COUNTIF($A$5:$A$104,A13)</x:f>
        <x:v>1</x:v>
      </x:c>
      <x:c r="I13" s="35" t="n">
        <x:f>COUNTIF('Products'!$A$5:$A$44,C13)</x:f>
        <x:v>1</x:v>
      </x:c>
      <x:c r="J13" s="45" t="n">
        <x:f>IFERROR(D13*E13,0)</x:f>
        <x:v>105</x:v>
      </x:c>
      <x:c r="K13" s="27" t="str">
        <x:f>IF(OR(A13="",B13="",C13="",D13&lt;=0,G13=""),"CHECK","OK")</x:f>
        <x:v>OK</x:v>
      </x:c>
      <x:c r="L13" s="27" t="str">
        <x:f>IF(H13&gt;1,"DUPLICATE",IF(I13=0,"INVALID SKU",IF(K13="CHECK","INCOMPLETE","OK")))</x:f>
        <x:v>OK</x:v>
      </x:c>
    </x:row>
    <x:row r="14">
      <x:c r="A14" s="30" t="str">
        <x:v>ORD-0010</x:v>
      </x:c>
      <x:c r="B14" s="39" t="n">
        <x:v>46244</x:v>
      </x:c>
      <x:c r="C14" s="30" t="str">
        <x:v>SKU-024</x:v>
      </x:c>
      <x:c r="D14" s="34" t="n">
        <x:v>4</x:v>
      </x:c>
      <x:c r="E14" s="45" t="n">
        <x:f>IFERROR(INDEX('Products'!$M$5:$M$44,MATCH(C14,'Products'!$A$5:$A$44,0)),0)</x:f>
        <x:v>22.25</x:v>
      </x:c>
      <x:c r="F14" s="30" t="str">
        <x:v>Scotland</x:v>
      </x:c>
      <x:c r="G14" s="30" t="str">
        <x:v>Cancelled</x:v>
      </x:c>
      <x:c r="H14" s="35" t="n">
        <x:f>COUNTIF($A$5:$A$104,A14)</x:f>
        <x:v>1</x:v>
      </x:c>
      <x:c r="I14" s="35" t="n">
        <x:f>COUNTIF('Products'!$A$5:$A$44,C14)</x:f>
        <x:v>1</x:v>
      </x:c>
      <x:c r="J14" s="45" t="n">
        <x:f>IFERROR(D14*E14,0)</x:f>
        <x:v>89</x:v>
      </x:c>
      <x:c r="K14" s="27" t="str">
        <x:f>IF(OR(A14="",B14="",C14="",D14&lt;=0,G14=""),"CHECK","OK")</x:f>
        <x:v>OK</x:v>
      </x:c>
      <x:c r="L14" s="27" t="str">
        <x:f>IF(H14&gt;1,"DUPLICATE",IF(I14=0,"INVALID SKU",IF(K14="CHECK","INCOMPLETE","OK")))</x:f>
        <x:v>OK</x:v>
      </x:c>
    </x:row>
    <x:row r="15">
      <x:c r="A15" s="30" t="str">
        <x:v>ORD-0011</x:v>
      </x:c>
      <x:c r="B15" s="39" t="n">
        <x:v>46245</x:v>
      </x:c>
      <x:c r="C15" s="30" t="str">
        <x:v>SKU-031</x:v>
      </x:c>
      <x:c r="D15" s="34" t="n">
        <x:v>5</x:v>
      </x:c>
      <x:c r="E15" s="45" t="n">
        <x:f>IFERROR(INDEX('Products'!$M$5:$M$44,MATCH(C15,'Products'!$A$5:$A$44,0)),0)</x:f>
        <x:v>9.5</x:v>
      </x:c>
      <x:c r="F15" s="30" t="str">
        <x:v>North West</x:v>
      </x:c>
      <x:c r="G15" s="30" t="str">
        <x:v>Fulfilled</x:v>
      </x:c>
      <x:c r="H15" s="35" t="n">
        <x:f>COUNTIF($A$5:$A$104,A15)</x:f>
        <x:v>1</x:v>
      </x:c>
      <x:c r="I15" s="35" t="n">
        <x:f>COUNTIF('Products'!$A$5:$A$44,C15)</x:f>
        <x:v>1</x:v>
      </x:c>
      <x:c r="J15" s="45" t="n">
        <x:f>IFERROR(D15*E15,0)</x:f>
        <x:v>47.5</x:v>
      </x:c>
      <x:c r="K15" s="27" t="str">
        <x:f>IF(OR(A15="",B15="",C15="",D15&lt;=0,G15=""),"CHECK","OK")</x:f>
        <x:v>OK</x:v>
      </x:c>
      <x:c r="L15" s="27" t="str">
        <x:f>IF(H15&gt;1,"DUPLICATE",IF(I15=0,"INVALID SKU",IF(K15="CHECK","INCOMPLETE","OK")))</x:f>
        <x:v>OK</x:v>
      </x:c>
    </x:row>
    <x:row r="16">
      <x:c r="A16" s="30" t="str">
        <x:v>ORD-0012</x:v>
      </x:c>
      <x:c r="B16" s="39" t="n">
        <x:v>46246</x:v>
      </x:c>
      <x:c r="C16" s="30" t="str">
        <x:v>SKU-038</x:v>
      </x:c>
      <x:c r="D16" s="34" t="n">
        <x:v>6</x:v>
      </x:c>
      <x:c r="E16" s="45" t="n">
        <x:f>IFERROR(INDEX('Products'!$M$5:$M$44,MATCH(C16,'Products'!$A$5:$A$44,0)),0)</x:f>
        <x:v>39.25</x:v>
      </x:c>
      <x:c r="F16" s="30" t="str">
        <x:v>Yorkshire</x:v>
      </x:c>
      <x:c r="G16" s="30" t="str">
        <x:v>Fulfilled</x:v>
      </x:c>
      <x:c r="H16" s="35" t="n">
        <x:f>COUNTIF($A$5:$A$104,A16)</x:f>
        <x:v>1</x:v>
      </x:c>
      <x:c r="I16" s="35" t="n">
        <x:f>COUNTIF('Products'!$A$5:$A$44,C16)</x:f>
        <x:v>1</x:v>
      </x:c>
      <x:c r="J16" s="45" t="n">
        <x:f>IFERROR(D16*E16,0)</x:f>
        <x:v>235.5</x:v>
      </x:c>
      <x:c r="K16" s="27" t="str">
        <x:f>IF(OR(A16="",B16="",C16="",D16&lt;=0,G16=""),"CHECK","OK")</x:f>
        <x:v>OK</x:v>
      </x:c>
      <x:c r="L16" s="27" t="str">
        <x:f>IF(H16&gt;1,"DUPLICATE",IF(I16=0,"INVALID SKU",IF(K16="CHECK","INCOMPLETE","OK")))</x:f>
        <x:v>OK</x:v>
      </x:c>
    </x:row>
    <x:row r="17">
      <x:c r="A17" s="30" t="str">
        <x:v>ORD-0013</x:v>
      </x:c>
      <x:c r="B17" s="39" t="n">
        <x:v>46247</x:v>
      </x:c>
      <x:c r="C17" s="30" t="str">
        <x:v>SKU-005</x:v>
      </x:c>
      <x:c r="D17" s="34" t="n">
        <x:v>1</x:v>
      </x:c>
      <x:c r="E17" s="45" t="n">
        <x:f>IFERROR(INDEX('Products'!$M$5:$M$44,MATCH(C17,'Products'!$A$5:$A$44,0)),0)</x:f>
        <x:v>26.5</x:v>
      </x:c>
      <x:c r="F17" s="30" t="str">
        <x:v>Midlands</x:v>
      </x:c>
      <x:c r="G17" s="30" t="str">
        <x:v>Fulfilled</x:v>
      </x:c>
      <x:c r="H17" s="35" t="n">
        <x:f>COUNTIF($A$5:$A$104,A17)</x:f>
        <x:v>1</x:v>
      </x:c>
      <x:c r="I17" s="35" t="n">
        <x:f>COUNTIF('Products'!$A$5:$A$44,C17)</x:f>
        <x:v>1</x:v>
      </x:c>
      <x:c r="J17" s="45" t="n">
        <x:f>IFERROR(D17*E17,0)</x:f>
        <x:v>26.5</x:v>
      </x:c>
      <x:c r="K17" s="27" t="str">
        <x:f>IF(OR(A17="",B17="",C17="",D17&lt;=0,G17=""),"CHECK","OK")</x:f>
        <x:v>OK</x:v>
      </x:c>
      <x:c r="L17" s="27" t="str">
        <x:f>IF(H17&gt;1,"DUPLICATE",IF(I17=0,"INVALID SKU",IF(K17="CHECK","INCOMPLETE","OK")))</x:f>
        <x:v>OK</x:v>
      </x:c>
    </x:row>
    <x:row r="18">
      <x:c r="A18" s="30" t="str">
        <x:v>ORD-0014</x:v>
      </x:c>
      <x:c r="B18" s="39" t="n">
        <x:v>46248</x:v>
      </x:c>
      <x:c r="C18" s="30" t="str">
        <x:v>SKU-012</x:v>
      </x:c>
      <x:c r="D18" s="34" t="n">
        <x:v>2</x:v>
      </x:c>
      <x:c r="E18" s="45" t="n">
        <x:f>IFERROR(INDEX('Products'!$M$5:$M$44,MATCH(C18,'Products'!$A$5:$A$44,0)),0)</x:f>
        <x:v>13.75</x:v>
      </x:c>
      <x:c r="F18" s="30" t="str">
        <x:v>London</x:v>
      </x:c>
      <x:c r="G18" s="30" t="str">
        <x:v>Processing</x:v>
      </x:c>
      <x:c r="H18" s="35" t="n">
        <x:f>COUNTIF($A$5:$A$104,A18)</x:f>
        <x:v>2</x:v>
      </x:c>
      <x:c r="I18" s="35" t="n">
        <x:f>COUNTIF('Products'!$A$5:$A$44,C18)</x:f>
        <x:v>1</x:v>
      </x:c>
      <x:c r="J18" s="45" t="n">
        <x:f>IFERROR(D18*E18,0)</x:f>
        <x:v>27.5</x:v>
      </x:c>
      <x:c r="K18" s="27" t="str">
        <x:f>IF(OR(A18="",B18="",C18="",D18&lt;=0,G18=""),"CHECK","OK")</x:f>
        <x:v>OK</x:v>
      </x:c>
      <x:c r="L18" s="27" t="str">
        <x:f>IF(H18&gt;1,"DUPLICATE",IF(I18=0,"INVALID SKU",IF(K18="CHECK","INCOMPLETE","OK")))</x:f>
        <x:v>DUPLICATE</x:v>
      </x:c>
    </x:row>
    <x:row r="19">
      <x:c r="A19" s="30" t="str">
        <x:v>ORD-0014</x:v>
      </x:c>
      <x:c r="B19" s="39" t="n">
        <x:v>46249</x:v>
      </x:c>
      <x:c r="C19" s="30" t="str">
        <x:v>SKU-019</x:v>
      </x:c>
      <x:c r="D19" s="34" t="n">
        <x:v>3</x:v>
      </x:c>
      <x:c r="E19" s="45" t="n">
        <x:f>IFERROR(INDEX('Products'!$M$5:$M$44,MATCH(C19,'Products'!$A$5:$A$44,0)),0)</x:f>
        <x:v>43.5</x:v>
      </x:c>
      <x:c r="F19" s="30" t="str">
        <x:v>Scotland</x:v>
      </x:c>
      <x:c r="G19" s="30" t="str">
        <x:v>Cancelled</x:v>
      </x:c>
      <x:c r="H19" s="35" t="n">
        <x:f>COUNTIF($A$5:$A$104,A19)</x:f>
        <x:v>2</x:v>
      </x:c>
      <x:c r="I19" s="35" t="n">
        <x:f>COUNTIF('Products'!$A$5:$A$44,C19)</x:f>
        <x:v>1</x:v>
      </x:c>
      <x:c r="J19" s="45" t="n">
        <x:f>IFERROR(D19*E19,0)</x:f>
        <x:v>130.5</x:v>
      </x:c>
      <x:c r="K19" s="27" t="str">
        <x:f>IF(OR(A19="",B19="",C19="",D19&lt;=0,G19=""),"CHECK","OK")</x:f>
        <x:v>OK</x:v>
      </x:c>
      <x:c r="L19" s="27" t="str">
        <x:f>IF(H19&gt;1,"DUPLICATE",IF(I19=0,"INVALID SKU",IF(K19="CHECK","INCOMPLETE","OK")))</x:f>
        <x:v>DUPLICATE</x:v>
      </x:c>
    </x:row>
    <x:row r="20">
      <x:c r="A20" s="30" t="str">
        <x:v>ORD-0016</x:v>
      </x:c>
      <x:c r="B20" s="39" t="n">
        <x:v>46250</x:v>
      </x:c>
      <x:c r="C20" s="30" t="str">
        <x:v>SKU-026</x:v>
      </x:c>
      <x:c r="D20" s="34" t="n">
        <x:v>4</x:v>
      </x:c>
      <x:c r="E20" s="45" t="n">
        <x:f>IFERROR(INDEX('Products'!$M$5:$M$44,MATCH(C20,'Products'!$A$5:$A$44,0)),0)</x:f>
        <x:v>30.75</x:v>
      </x:c>
      <x:c r="F20" s="30" t="str">
        <x:v>North West</x:v>
      </x:c>
      <x:c r="G20" s="30" t="str">
        <x:v>Fulfilled</x:v>
      </x:c>
      <x:c r="H20" s="35" t="n">
        <x:f>COUNTIF($A$5:$A$104,A20)</x:f>
        <x:v>1</x:v>
      </x:c>
      <x:c r="I20" s="35" t="n">
        <x:f>COUNTIF('Products'!$A$5:$A$44,C20)</x:f>
        <x:v>1</x:v>
      </x:c>
      <x:c r="J20" s="45" t="n">
        <x:f>IFERROR(D20*E20,0)</x:f>
        <x:v>123</x:v>
      </x:c>
      <x:c r="K20" s="27" t="str">
        <x:f>IF(OR(A20="",B20="",C20="",D20&lt;=0,G20=""),"CHECK","OK")</x:f>
        <x:v>OK</x:v>
      </x:c>
      <x:c r="L20" s="27" t="str">
        <x:f>IF(H20&gt;1,"DUPLICATE",IF(I20=0,"INVALID SKU",IF(K20="CHECK","INCOMPLETE","OK")))</x:f>
        <x:v>OK</x:v>
      </x:c>
    </x:row>
    <x:row r="21">
      <x:c r="A21" s="30" t="str">
        <x:v>ORD-0017</x:v>
      </x:c>
      <x:c r="B21" s="39" t="n">
        <x:v>46251</x:v>
      </x:c>
      <x:c r="C21" s="30" t="str">
        <x:v>SKU-033</x:v>
      </x:c>
      <x:c r="D21" s="34" t="n">
        <x:v>5</x:v>
      </x:c>
      <x:c r="E21" s="45" t="n">
        <x:f>IFERROR(INDEX('Products'!$M$5:$M$44,MATCH(C21,'Products'!$A$5:$A$44,0)),0)</x:f>
        <x:v>18</x:v>
      </x:c>
      <x:c r="F21" s="30" t="str">
        <x:v>Yorkshire</x:v>
      </x:c>
      <x:c r="G21" s="30" t="str">
        <x:v>Fulfilled</x:v>
      </x:c>
      <x:c r="H21" s="35" t="n">
        <x:f>COUNTIF($A$5:$A$104,A21)</x:f>
        <x:v>1</x:v>
      </x:c>
      <x:c r="I21" s="35" t="n">
        <x:f>COUNTIF('Products'!$A$5:$A$44,C21)</x:f>
        <x:v>1</x:v>
      </x:c>
      <x:c r="J21" s="45" t="n">
        <x:f>IFERROR(D21*E21,0)</x:f>
        <x:v>90</x:v>
      </x:c>
      <x:c r="K21" s="27" t="str">
        <x:f>IF(OR(A21="",B21="",C21="",D21&lt;=0,G21=""),"CHECK","OK")</x:f>
        <x:v>OK</x:v>
      </x:c>
      <x:c r="L21" s="27" t="str">
        <x:f>IF(H21&gt;1,"DUPLICATE",IF(I21=0,"INVALID SKU",IF(K21="CHECK","INCOMPLETE","OK")))</x:f>
        <x:v>OK</x:v>
      </x:c>
    </x:row>
    <x:row r="22">
      <x:c r="A22" s="30" t="str">
        <x:v>ORD-0018</x:v>
      </x:c>
      <x:c r="B22" s="39" t="n">
        <x:v>46252</x:v>
      </x:c>
      <x:c r="C22" s="30" t="str">
        <x:v>SKU-040</x:v>
      </x:c>
      <x:c r="D22" s="34" t="n">
        <x:v>6</x:v>
      </x:c>
      <x:c r="E22" s="45" t="n">
        <x:f>IFERROR(INDEX('Products'!$M$5:$M$44,MATCH(C22,'Products'!$A$5:$A$44,0)),0)</x:f>
        <x:v>47.75</x:v>
      </x:c>
      <x:c r="F22" s="30" t="str">
        <x:v>Midlands</x:v>
      </x:c>
      <x:c r="G22" s="30" t="str">
        <x:v>Fulfilled</x:v>
      </x:c>
      <x:c r="H22" s="35" t="n">
        <x:f>COUNTIF($A$5:$A$104,A22)</x:f>
        <x:v>1</x:v>
      </x:c>
      <x:c r="I22" s="35" t="n">
        <x:f>COUNTIF('Products'!$A$5:$A$44,C22)</x:f>
        <x:v>1</x:v>
      </x:c>
      <x:c r="J22" s="45" t="n">
        <x:f>IFERROR(D22*E22,0)</x:f>
        <x:v>286.5</x:v>
      </x:c>
      <x:c r="K22" s="27" t="str">
        <x:f>IF(OR(A22="",B22="",C22="",D22&lt;=0,G22=""),"CHECK","OK")</x:f>
        <x:v>OK</x:v>
      </x:c>
      <x:c r="L22" s="27" t="str">
        <x:f>IF(H22&gt;1,"DUPLICATE",IF(I22=0,"INVALID SKU",IF(K22="CHECK","INCOMPLETE","OK")))</x:f>
        <x:v>OK</x:v>
      </x:c>
    </x:row>
    <x:row r="23">
      <x:c r="A23" s="30" t="str">
        <x:v>ORD-0019</x:v>
      </x:c>
      <x:c r="B23" s="39" t="n">
        <x:v>46253</x:v>
      </x:c>
      <x:c r="C23" s="30" t="str">
        <x:v>SKU-007</x:v>
      </x:c>
      <x:c r="D23" s="34" t="n">
        <x:v>1</x:v>
      </x:c>
      <x:c r="E23" s="45" t="n">
        <x:f>IFERROR(INDEX('Products'!$M$5:$M$44,MATCH(C23,'Products'!$A$5:$A$44,0)),0)</x:f>
        <x:v>35</x:v>
      </x:c>
      <x:c r="F23" s="30" t="str">
        <x:v>London</x:v>
      </x:c>
      <x:c r="G23" s="30" t="str">
        <x:v>Processing</x:v>
      </x:c>
      <x:c r="H23" s="35" t="n">
        <x:f>COUNTIF($A$5:$A$104,A23)</x:f>
        <x:v>1</x:v>
      </x:c>
      <x:c r="I23" s="35" t="n">
        <x:f>COUNTIF('Products'!$A$5:$A$44,C23)</x:f>
        <x:v>1</x:v>
      </x:c>
      <x:c r="J23" s="45" t="n">
        <x:f>IFERROR(D23*E23,0)</x:f>
        <x:v>35</x:v>
      </x:c>
      <x:c r="K23" s="27" t="str">
        <x:f>IF(OR(A23="",B23="",C23="",D23&lt;=0,G23=""),"CHECK","OK")</x:f>
        <x:v>OK</x:v>
      </x:c>
      <x:c r="L23" s="27" t="str">
        <x:f>IF(H23&gt;1,"DUPLICATE",IF(I23=0,"INVALID SKU",IF(K23="CHECK","INCOMPLETE","OK")))</x:f>
        <x:v>OK</x:v>
      </x:c>
    </x:row>
    <x:row r="24">
      <x:c r="A24" s="30" t="str">
        <x:v>ORD-0020</x:v>
      </x:c>
      <x:c r="B24" s="39" t="n">
        <x:v>46254</x:v>
      </x:c>
      <x:c r="C24" s="30" t="str">
        <x:v>SKU-014</x:v>
      </x:c>
      <x:c r="D24" s="34" t="n">
        <x:v>2</x:v>
      </x:c>
      <x:c r="E24" s="45" t="n">
        <x:f>IFERROR(INDEX('Products'!$M$5:$M$44,MATCH(C24,'Products'!$A$5:$A$44,0)),0)</x:f>
        <x:v>22.25</x:v>
      </x:c>
      <x:c r="F24" s="30" t="str">
        <x:v>Scotland</x:v>
      </x:c>
      <x:c r="G24" s="30" t="str">
        <x:v>Cancelled</x:v>
      </x:c>
      <x:c r="H24" s="35" t="n">
        <x:f>COUNTIF($A$5:$A$104,A24)</x:f>
        <x:v>1</x:v>
      </x:c>
      <x:c r="I24" s="35" t="n">
        <x:f>COUNTIF('Products'!$A$5:$A$44,C24)</x:f>
        <x:v>1</x:v>
      </x:c>
      <x:c r="J24" s="45" t="n">
        <x:f>IFERROR(D24*E24,0)</x:f>
        <x:v>44.5</x:v>
      </x:c>
      <x:c r="K24" s="27" t="str">
        <x:f>IF(OR(A24="",B24="",C24="",D24&lt;=0,G24=""),"CHECK","OK")</x:f>
        <x:v>OK</x:v>
      </x:c>
      <x:c r="L24" s="27" t="str">
        <x:f>IF(H24&gt;1,"DUPLICATE",IF(I24=0,"INVALID SKU",IF(K24="CHECK","INCOMPLETE","OK")))</x:f>
        <x:v>OK</x:v>
      </x:c>
    </x:row>
    <x:row r="25">
      <x:c r="A25" s="30" t="str">
        <x:v>ORD-0021</x:v>
      </x:c>
      <x:c r="B25" s="39" t="n">
        <x:v>46255</x:v>
      </x:c>
      <x:c r="C25" s="30" t="str">
        <x:v>SKU-021</x:v>
      </x:c>
      <x:c r="D25" s="34" t="n">
        <x:v>3</x:v>
      </x:c>
      <x:c r="E25" s="45" t="n">
        <x:f>IFERROR(INDEX('Products'!$M$5:$M$44,MATCH(C25,'Products'!$A$5:$A$44,0)),0)</x:f>
        <x:v>9.5</x:v>
      </x:c>
      <x:c r="F25" s="30" t="str">
        <x:v>North West</x:v>
      </x:c>
      <x:c r="G25" s="30" t="str">
        <x:v>Fulfilled</x:v>
      </x:c>
      <x:c r="H25" s="35" t="n">
        <x:f>COUNTIF($A$5:$A$104,A25)</x:f>
        <x:v>1</x:v>
      </x:c>
      <x:c r="I25" s="35" t="n">
        <x:f>COUNTIF('Products'!$A$5:$A$44,C25)</x:f>
        <x:v>1</x:v>
      </x:c>
      <x:c r="J25" s="45" t="n">
        <x:f>IFERROR(D25*E25,0)</x:f>
        <x:v>28.5</x:v>
      </x:c>
      <x:c r="K25" s="27" t="str">
        <x:f>IF(OR(A25="",B25="",C25="",D25&lt;=0,G25=""),"CHECK","OK")</x:f>
        <x:v>OK</x:v>
      </x:c>
      <x:c r="L25" s="27" t="str">
        <x:f>IF(H25&gt;1,"DUPLICATE",IF(I25=0,"INVALID SKU",IF(K25="CHECK","INCOMPLETE","OK")))</x:f>
        <x:v>OK</x:v>
      </x:c>
    </x:row>
    <x:row r="26">
      <x:c r="A26" s="30" t="str">
        <x:v>ORD-0022</x:v>
      </x:c>
      <x:c r="B26" s="39" t="n">
        <x:v>46256</x:v>
      </x:c>
      <x:c r="C26" s="30" t="str">
        <x:v>SKU-028</x:v>
      </x:c>
      <x:c r="D26" s="34" t="n">
        <x:v>4</x:v>
      </x:c>
      <x:c r="E26" s="45" t="n">
        <x:f>IFERROR(INDEX('Products'!$M$5:$M$44,MATCH(C26,'Products'!$A$5:$A$44,0)),0)</x:f>
        <x:v>39.25</x:v>
      </x:c>
      <x:c r="F26" s="30" t="str">
        <x:v>Yorkshire</x:v>
      </x:c>
      <x:c r="G26" s="30" t="str">
        <x:v>Fulfilled</x:v>
      </x:c>
      <x:c r="H26" s="35" t="n">
        <x:f>COUNTIF($A$5:$A$104,A26)</x:f>
        <x:v>1</x:v>
      </x:c>
      <x:c r="I26" s="35" t="n">
        <x:f>COUNTIF('Products'!$A$5:$A$44,C26)</x:f>
        <x:v>1</x:v>
      </x:c>
      <x:c r="J26" s="45" t="n">
        <x:f>IFERROR(D26*E26,0)</x:f>
        <x:v>157</x:v>
      </x:c>
      <x:c r="K26" s="27" t="str">
        <x:f>IF(OR(A26="",B26="",C26="",D26&lt;=0,G26=""),"CHECK","OK")</x:f>
        <x:v>OK</x:v>
      </x:c>
      <x:c r="L26" s="27" t="str">
        <x:f>IF(H26&gt;1,"DUPLICATE",IF(I26=0,"INVALID SKU",IF(K26="CHECK","INCOMPLETE","OK")))</x:f>
        <x:v>OK</x:v>
      </x:c>
    </x:row>
    <x:row r="27">
      <x:c r="A27" s="30" t="str">
        <x:v>ORD-0023</x:v>
      </x:c>
      <x:c r="B27" s="39" t="n">
        <x:v>46257</x:v>
      </x:c>
      <x:c r="C27" s="30" t="str">
        <x:v>SKU-035</x:v>
      </x:c>
      <x:c r="D27" s="34" t="n">
        <x:v>5</x:v>
      </x:c>
      <x:c r="E27" s="45" t="n">
        <x:f>IFERROR(INDEX('Products'!$M$5:$M$44,MATCH(C27,'Products'!$A$5:$A$44,0)),0)</x:f>
        <x:v>26.5</x:v>
      </x:c>
      <x:c r="F27" s="30" t="str">
        <x:v>Midlands</x:v>
      </x:c>
      <x:c r="G27" s="30" t="str">
        <x:v>Fulfilled</x:v>
      </x:c>
      <x:c r="H27" s="35" t="n">
        <x:f>COUNTIF($A$5:$A$104,A27)</x:f>
        <x:v>1</x:v>
      </x:c>
      <x:c r="I27" s="35" t="n">
        <x:f>COUNTIF('Products'!$A$5:$A$44,C27)</x:f>
        <x:v>1</x:v>
      </x:c>
      <x:c r="J27" s="45" t="n">
        <x:f>IFERROR(D27*E27,0)</x:f>
        <x:v>132.5</x:v>
      </x:c>
      <x:c r="K27" s="27" t="str">
        <x:f>IF(OR(A27="",B27="",C27="",D27&lt;=0,G27=""),"CHECK","OK")</x:f>
        <x:v>OK</x:v>
      </x:c>
      <x:c r="L27" s="27" t="str">
        <x:f>IF(H27&gt;1,"DUPLICATE",IF(I27=0,"INVALID SKU",IF(K27="CHECK","INCOMPLETE","OK")))</x:f>
        <x:v>OK</x:v>
      </x:c>
    </x:row>
    <x:row r="28">
      <x:c r="A28" s="30" t="str">
        <x:v>ORD-0024</x:v>
      </x:c>
      <x:c r="B28" s="39" t="n">
        <x:v>46258</x:v>
      </x:c>
      <x:c r="C28" s="30" t="str">
        <x:v>SKU-002</x:v>
      </x:c>
      <x:c r="D28" s="34" t="n">
        <x:v>6</x:v>
      </x:c>
      <x:c r="E28" s="45" t="n">
        <x:f>IFERROR(INDEX('Products'!$M$5:$M$44,MATCH(C28,'Products'!$A$5:$A$44,0)),0)</x:f>
        <x:v>13.75</x:v>
      </x:c>
      <x:c r="F28" s="30" t="str">
        <x:v>London</x:v>
      </x:c>
      <x:c r="G28" s="30" t="str">
        <x:v>Processing</x:v>
      </x:c>
      <x:c r="H28" s="35" t="n">
        <x:f>COUNTIF($A$5:$A$104,A28)</x:f>
        <x:v>1</x:v>
      </x:c>
      <x:c r="I28" s="35" t="n">
        <x:f>COUNTIF('Products'!$A$5:$A$44,C28)</x:f>
        <x:v>1</x:v>
      </x:c>
      <x:c r="J28" s="45" t="n">
        <x:f>IFERROR(D28*E28,0)</x:f>
        <x:v>82.5</x:v>
      </x:c>
      <x:c r="K28" s="27" t="str">
        <x:f>IF(OR(A28="",B28="",C28="",D28&lt;=0,G28=""),"CHECK","OK")</x:f>
        <x:v>OK</x:v>
      </x:c>
      <x:c r="L28" s="27" t="str">
        <x:f>IF(H28&gt;1,"DUPLICATE",IF(I28=0,"INVALID SKU",IF(K28="CHECK","INCOMPLETE","OK")))</x:f>
        <x:v>OK</x:v>
      </x:c>
    </x:row>
    <x:row r="29">
      <x:c r="A29" s="30" t="str">
        <x:v>ORD-0025</x:v>
      </x:c>
      <x:c r="B29" s="39" t="n">
        <x:v>46259</x:v>
      </x:c>
      <x:c r="C29" s="30" t="str">
        <x:v>SKU-999</x:v>
      </x:c>
      <x:c r="D29" s="34" t="n">
        <x:v>1</x:v>
      </x:c>
      <x:c r="E29" s="45" t="n">
        <x:f>IFERROR(INDEX('Products'!$M$5:$M$44,MATCH(C29,'Products'!$A$5:$A$44,0)),0)</x:f>
        <x:v>0</x:v>
      </x:c>
      <x:c r="F29" s="30" t="str">
        <x:v>Scotland</x:v>
      </x:c>
      <x:c r="G29" s="30" t="str">
        <x:v>Cancelled</x:v>
      </x:c>
      <x:c r="H29" s="35" t="n">
        <x:f>COUNTIF($A$5:$A$104,A29)</x:f>
        <x:v>1</x:v>
      </x:c>
      <x:c r="I29" s="35" t="n">
        <x:f>COUNTIF('Products'!$A$5:$A$44,C29)</x:f>
        <x:v>0</x:v>
      </x:c>
      <x:c r="J29" s="45" t="n">
        <x:f>IFERROR(D29*E29,0)</x:f>
        <x:v>0</x:v>
      </x:c>
      <x:c r="K29" s="27" t="str">
        <x:f>IF(OR(A29="",B29="",C29="",D29&lt;=0,G29=""),"CHECK","OK")</x:f>
        <x:v>OK</x:v>
      </x:c>
      <x:c r="L29" s="27" t="str">
        <x:f>IF(H29&gt;1,"DUPLICATE",IF(I29=0,"INVALID SKU",IF(K29="CHECK","INCOMPLETE","OK")))</x:f>
        <x:v>INVALID SKU</x:v>
      </x:c>
    </x:row>
    <x:row r="30">
      <x:c r="A30" s="30" t="str">
        <x:v>ORD-0026</x:v>
      </x:c>
      <x:c r="B30" s="39" t="n">
        <x:v>46260</x:v>
      </x:c>
      <x:c r="C30" s="30" t="str">
        <x:v>SKU-016</x:v>
      </x:c>
      <x:c r="D30" s="34" t="n">
        <x:v>2</x:v>
      </x:c>
      <x:c r="E30" s="45" t="n">
        <x:f>IFERROR(INDEX('Products'!$M$5:$M$44,MATCH(C30,'Products'!$A$5:$A$44,0)),0)</x:f>
        <x:v>30.75</x:v>
      </x:c>
      <x:c r="F30" s="30" t="str">
        <x:v>North West</x:v>
      </x:c>
      <x:c r="G30" s="30" t="str">
        <x:v>Fulfilled</x:v>
      </x:c>
      <x:c r="H30" s="35" t="n">
        <x:f>COUNTIF($A$5:$A$104,A30)</x:f>
        <x:v>1</x:v>
      </x:c>
      <x:c r="I30" s="35" t="n">
        <x:f>COUNTIF('Products'!$A$5:$A$44,C30)</x:f>
        <x:v>1</x:v>
      </x:c>
      <x:c r="J30" s="45" t="n">
        <x:f>IFERROR(D30*E30,0)</x:f>
        <x:v>61.5</x:v>
      </x:c>
      <x:c r="K30" s="27" t="str">
        <x:f>IF(OR(A30="",B30="",C30="",D30&lt;=0,G30=""),"CHECK","OK")</x:f>
        <x:v>OK</x:v>
      </x:c>
      <x:c r="L30" s="27" t="str">
        <x:f>IF(H30&gt;1,"DUPLICATE",IF(I30=0,"INVALID SKU",IF(K30="CHECK","INCOMPLETE","OK")))</x:f>
        <x:v>OK</x:v>
      </x:c>
    </x:row>
    <x:row r="31">
      <x:c r="A31" s="30" t="str">
        <x:v>ORD-0027</x:v>
      </x:c>
      <x:c r="B31" s="39" t="n">
        <x:v>46261</x:v>
      </x:c>
      <x:c r="C31" s="30" t="str">
        <x:v>SKU-023</x:v>
      </x:c>
      <x:c r="D31" s="34" t="n">
        <x:v>3</x:v>
      </x:c>
      <x:c r="E31" s="45" t="n">
        <x:f>IFERROR(INDEX('Products'!$M$5:$M$44,MATCH(C31,'Products'!$A$5:$A$44,0)),0)</x:f>
        <x:v>18</x:v>
      </x:c>
      <x:c r="F31" s="30" t="str">
        <x:v>Yorkshire</x:v>
      </x:c>
      <x:c r="G31" s="30" t="str">
        <x:v>Fulfilled</x:v>
      </x:c>
      <x:c r="H31" s="35" t="n">
        <x:f>COUNTIF($A$5:$A$104,A31)</x:f>
        <x:v>1</x:v>
      </x:c>
      <x:c r="I31" s="35" t="n">
        <x:f>COUNTIF('Products'!$A$5:$A$44,C31)</x:f>
        <x:v>1</x:v>
      </x:c>
      <x:c r="J31" s="45" t="n">
        <x:f>IFERROR(D31*E31,0)</x:f>
        <x:v>54</x:v>
      </x:c>
      <x:c r="K31" s="27" t="str">
        <x:f>IF(OR(A31="",B31="",C31="",D31&lt;=0,G31=""),"CHECK","OK")</x:f>
        <x:v>OK</x:v>
      </x:c>
      <x:c r="L31" s="27" t="str">
        <x:f>IF(H31&gt;1,"DUPLICATE",IF(I31=0,"INVALID SKU",IF(K31="CHECK","INCOMPLETE","OK")))</x:f>
        <x:v>OK</x:v>
      </x:c>
    </x:row>
    <x:row r="32">
      <x:c r="A32" s="30" t="str">
        <x:v>ORD-0028</x:v>
      </x:c>
      <x:c r="B32" s="39" t="n">
        <x:v>46262</x:v>
      </x:c>
      <x:c r="C32" s="30" t="str">
        <x:v>SKU-030</x:v>
      </x:c>
      <x:c r="D32" s="34" t="n">
        <x:v>4</x:v>
      </x:c>
      <x:c r="E32" s="45" t="n">
        <x:f>IFERROR(INDEX('Products'!$M$5:$M$44,MATCH(C32,'Products'!$A$5:$A$44,0)),0)</x:f>
        <x:v>47.75</x:v>
      </x:c>
      <x:c r="F32" s="30" t="str">
        <x:v>Midlands</x:v>
      </x:c>
      <x:c r="G32" s="30" t="str">
        <x:v>Fulfilled</x:v>
      </x:c>
      <x:c r="H32" s="35" t="n">
        <x:f>COUNTIF($A$5:$A$104,A32)</x:f>
        <x:v>1</x:v>
      </x:c>
      <x:c r="I32" s="35" t="n">
        <x:f>COUNTIF('Products'!$A$5:$A$44,C32)</x:f>
        <x:v>1</x:v>
      </x:c>
      <x:c r="J32" s="45" t="n">
        <x:f>IFERROR(D32*E32,0)</x:f>
        <x:v>191</x:v>
      </x:c>
      <x:c r="K32" s="27" t="str">
        <x:f>IF(OR(A32="",B32="",C32="",D32&lt;=0,G32=""),"CHECK","OK")</x:f>
        <x:v>OK</x:v>
      </x:c>
      <x:c r="L32" s="27" t="str">
        <x:f>IF(H32&gt;1,"DUPLICATE",IF(I32=0,"INVALID SKU",IF(K32="CHECK","INCOMPLETE","OK")))</x:f>
        <x:v>OK</x:v>
      </x:c>
    </x:row>
    <x:row r="33">
      <x:c r="A33" s="30" t="str">
        <x:v>ORD-0029</x:v>
      </x:c>
      <x:c r="B33" s="39" t="n">
        <x:v>46235</x:v>
      </x:c>
      <x:c r="C33" s="30" t="str">
        <x:v>SKU-037</x:v>
      </x:c>
      <x:c r="D33" s="34" t="n">
        <x:v>5</x:v>
      </x:c>
      <x:c r="E33" s="45" t="n">
        <x:f>IFERROR(INDEX('Products'!$M$5:$M$44,MATCH(C33,'Products'!$A$5:$A$44,0)),0)</x:f>
        <x:v>35</x:v>
      </x:c>
      <x:c r="F33" s="30" t="str">
        <x:v>London</x:v>
      </x:c>
      <x:c r="G33" s="30" t="str">
        <x:v>Processing</x:v>
      </x:c>
      <x:c r="H33" s="35" t="n">
        <x:f>COUNTIF($A$5:$A$104,A33)</x:f>
        <x:v>1</x:v>
      </x:c>
      <x:c r="I33" s="35" t="n">
        <x:f>COUNTIF('Products'!$A$5:$A$44,C33)</x:f>
        <x:v>1</x:v>
      </x:c>
      <x:c r="J33" s="45" t="n">
        <x:f>IFERROR(D33*E33,0)</x:f>
        <x:v>175</x:v>
      </x:c>
      <x:c r="K33" s="27" t="str">
        <x:f>IF(OR(A33="",B33="",C33="",D33&lt;=0,G33=""),"CHECK","OK")</x:f>
        <x:v>OK</x:v>
      </x:c>
      <x:c r="L33" s="27" t="str">
        <x:f>IF(H33&gt;1,"DUPLICATE",IF(I33=0,"INVALID SKU",IF(K33="CHECK","INCOMPLETE","OK")))</x:f>
        <x:v>OK</x:v>
      </x:c>
    </x:row>
    <x:row r="34">
      <x:c r="A34" s="30" t="str">
        <x:v>ORD-0030</x:v>
      </x:c>
      <x:c r="B34" s="39" t="n">
        <x:v>46236</x:v>
      </x:c>
      <x:c r="C34" s="30" t="str">
        <x:v>SKU-004</x:v>
      </x:c>
      <x:c r="D34" s="34" t="n">
        <x:v>6</x:v>
      </x:c>
      <x:c r="E34" s="45" t="n">
        <x:f>IFERROR(INDEX('Products'!$M$5:$M$44,MATCH(C34,'Products'!$A$5:$A$44,0)),0)</x:f>
        <x:v>22.25</x:v>
      </x:c>
      <x:c r="F34" s="30" t="str">
        <x:v>Scotland</x:v>
      </x:c>
      <x:c r="G34" s="30" t="str">
        <x:v>Cancelled</x:v>
      </x:c>
      <x:c r="H34" s="35" t="n">
        <x:f>COUNTIF($A$5:$A$104,A34)</x:f>
        <x:v>1</x:v>
      </x:c>
      <x:c r="I34" s="35" t="n">
        <x:f>COUNTIF('Products'!$A$5:$A$44,C34)</x:f>
        <x:v>1</x:v>
      </x:c>
      <x:c r="J34" s="45" t="n">
        <x:f>IFERROR(D34*E34,0)</x:f>
        <x:v>133.5</x:v>
      </x:c>
      <x:c r="K34" s="27" t="str">
        <x:f>IF(OR(A34="",B34="",C34="",D34&lt;=0,G34=""),"CHECK","OK")</x:f>
        <x:v>OK</x:v>
      </x:c>
      <x:c r="L34" s="27" t="str">
        <x:f>IF(H34&gt;1,"DUPLICATE",IF(I34=0,"INVALID SKU",IF(K34="CHECK","INCOMPLETE","OK")))</x:f>
        <x:v>OK</x:v>
      </x:c>
    </x:row>
    <x:row r="35">
      <x:c r="A35" s="30" t="str">
        <x:v>ORD-0031</x:v>
      </x:c>
      <x:c r="B35" s="39" t="n">
        <x:v>46237</x:v>
      </x:c>
      <x:c r="C35" s="30" t="str">
        <x:v>SKU-011</x:v>
      </x:c>
      <x:c r="D35" s="34" t="n">
        <x:v>1</x:v>
      </x:c>
      <x:c r="E35" s="45" t="n">
        <x:f>IFERROR(INDEX('Products'!$M$5:$M$44,MATCH(C35,'Products'!$A$5:$A$44,0)),0)</x:f>
        <x:v>9.5</x:v>
      </x:c>
      <x:c r="F35" s="30" t="str">
        <x:v>North West</x:v>
      </x:c>
      <x:c r="G35" s="30" t="str">
        <x:v>Fulfilled</x:v>
      </x:c>
      <x:c r="H35" s="35" t="n">
        <x:f>COUNTIF($A$5:$A$104,A35)</x:f>
        <x:v>1</x:v>
      </x:c>
      <x:c r="I35" s="35" t="n">
        <x:f>COUNTIF('Products'!$A$5:$A$44,C35)</x:f>
        <x:v>1</x:v>
      </x:c>
      <x:c r="J35" s="45" t="n">
        <x:f>IFERROR(D35*E35,0)</x:f>
        <x:v>9.5</x:v>
      </x:c>
      <x:c r="K35" s="27" t="str">
        <x:f>IF(OR(A35="",B35="",C35="",D35&lt;=0,G35=""),"CHECK","OK")</x:f>
        <x:v>OK</x:v>
      </x:c>
      <x:c r="L35" s="27" t="str">
        <x:f>IF(H35&gt;1,"DUPLICATE",IF(I35=0,"INVALID SKU",IF(K35="CHECK","INCOMPLETE","OK")))</x:f>
        <x:v>OK</x:v>
      </x:c>
    </x:row>
    <x:row r="36">
      <x:c r="A36" s="30" t="str">
        <x:v>ORD-0032</x:v>
      </x:c>
      <x:c r="B36" s="39" t="n">
        <x:v>46238</x:v>
      </x:c>
      <x:c r="C36" s="30" t="str">
        <x:v>SKU-018</x:v>
      </x:c>
      <x:c r="D36" s="34" t="n">
        <x:v>2</x:v>
      </x:c>
      <x:c r="E36" s="45" t="n">
        <x:f>IFERROR(INDEX('Products'!$M$5:$M$44,MATCH(C36,'Products'!$A$5:$A$44,0)),0)</x:f>
        <x:v>39.25</x:v>
      </x:c>
      <x:c r="F36" s="30" t="str">
        <x:v>Yorkshire</x:v>
      </x:c>
      <x:c r="G36" s="30" t="str">
        <x:v>Fulfilled</x:v>
      </x:c>
      <x:c r="H36" s="35" t="n">
        <x:f>COUNTIF($A$5:$A$104,A36)</x:f>
        <x:v>1</x:v>
      </x:c>
      <x:c r="I36" s="35" t="n">
        <x:f>COUNTIF('Products'!$A$5:$A$44,C36)</x:f>
        <x:v>1</x:v>
      </x:c>
      <x:c r="J36" s="45" t="n">
        <x:f>IFERROR(D36*E36,0)</x:f>
        <x:v>78.5</x:v>
      </x:c>
      <x:c r="K36" s="27" t="str">
        <x:f>IF(OR(A36="",B36="",C36="",D36&lt;=0,G36=""),"CHECK","OK")</x:f>
        <x:v>OK</x:v>
      </x:c>
      <x:c r="L36" s="27" t="str">
        <x:f>IF(H36&gt;1,"DUPLICATE",IF(I36=0,"INVALID SKU",IF(K36="CHECK","INCOMPLETE","OK")))</x:f>
        <x:v>OK</x:v>
      </x:c>
    </x:row>
    <x:row r="37">
      <x:c r="A37" s="30" t="str">
        <x:v>ORD-0033</x:v>
      </x:c>
      <x:c r="B37" s="39" t="n">
        <x:v>46239</x:v>
      </x:c>
      <x:c r="C37" s="30" t="str">
        <x:v>SKU-025</x:v>
      </x:c>
      <x:c r="D37" s="34" t="n">
        <x:v>3</x:v>
      </x:c>
      <x:c r="E37" s="45" t="n">
        <x:f>IFERROR(INDEX('Products'!$M$5:$M$44,MATCH(C37,'Products'!$A$5:$A$44,0)),0)</x:f>
        <x:v>26.5</x:v>
      </x:c>
      <x:c r="F37" s="30" t="str">
        <x:v>Midlands</x:v>
      </x:c>
      <x:c r="G37" s="30" t="str">
        <x:v>Fulfilled</x:v>
      </x:c>
      <x:c r="H37" s="35" t="n">
        <x:f>COUNTIF($A$5:$A$104,A37)</x:f>
        <x:v>1</x:v>
      </x:c>
      <x:c r="I37" s="35" t="n">
        <x:f>COUNTIF('Products'!$A$5:$A$44,C37)</x:f>
        <x:v>1</x:v>
      </x:c>
      <x:c r="J37" s="45" t="n">
        <x:f>IFERROR(D37*E37,0)</x:f>
        <x:v>79.5</x:v>
      </x:c>
      <x:c r="K37" s="27" t="str">
        <x:f>IF(OR(A37="",B37="",C37="",D37&lt;=0,G37=""),"CHECK","OK")</x:f>
        <x:v>OK</x:v>
      </x:c>
      <x:c r="L37" s="27" t="str">
        <x:f>IF(H37&gt;1,"DUPLICATE",IF(I37=0,"INVALID SKU",IF(K37="CHECK","INCOMPLETE","OK")))</x:f>
        <x:v>OK</x:v>
      </x:c>
    </x:row>
    <x:row r="38">
      <x:c r="A38" s="30" t="str">
        <x:v>ORD-0034</x:v>
      </x:c>
      <x:c r="B38" s="39" t="n">
        <x:v>46240</x:v>
      </x:c>
      <x:c r="C38" s="30" t="str">
        <x:v>SKU-032</x:v>
      </x:c>
      <x:c r="D38" s="34" t="n">
        <x:v>4</x:v>
      </x:c>
      <x:c r="E38" s="45" t="n">
        <x:f>IFERROR(INDEX('Products'!$M$5:$M$44,MATCH(C38,'Products'!$A$5:$A$44,0)),0)</x:f>
        <x:v>13.75</x:v>
      </x:c>
      <x:c r="F38" s="30" t="str">
        <x:v>London</x:v>
      </x:c>
      <x:c r="G38" s="30" t="str">
        <x:v>Processing</x:v>
      </x:c>
      <x:c r="H38" s="35" t="n">
        <x:f>COUNTIF($A$5:$A$104,A38)</x:f>
        <x:v>1</x:v>
      </x:c>
      <x:c r="I38" s="35" t="n">
        <x:f>COUNTIF('Products'!$A$5:$A$44,C38)</x:f>
        <x:v>1</x:v>
      </x:c>
      <x:c r="J38" s="45" t="n">
        <x:f>IFERROR(D38*E38,0)</x:f>
        <x:v>55</x:v>
      </x:c>
      <x:c r="K38" s="27" t="str">
        <x:f>IF(OR(A38="",B38="",C38="",D38&lt;=0,G38=""),"CHECK","OK")</x:f>
        <x:v>OK</x:v>
      </x:c>
      <x:c r="L38" s="27" t="str">
        <x:f>IF(H38&gt;1,"DUPLICATE",IF(I38=0,"INVALID SKU",IF(K38="CHECK","INCOMPLETE","OK")))</x:f>
        <x:v>OK</x:v>
      </x:c>
    </x:row>
    <x:row r="39">
      <x:c r="A39" s="30" t="str">
        <x:v>ORD-0035</x:v>
      </x:c>
      <x:c r="B39" s="39" t="n">
        <x:v>46241</x:v>
      </x:c>
      <x:c r="C39" s="30" t="str">
        <x:v>SKU-039</x:v>
      </x:c>
      <x:c r="D39" s="34" t="n">
        <x:v>5</x:v>
      </x:c>
      <x:c r="E39" s="45" t="n">
        <x:f>IFERROR(INDEX('Products'!$M$5:$M$44,MATCH(C39,'Products'!$A$5:$A$44,0)),0)</x:f>
        <x:v>43.5</x:v>
      </x:c>
      <x:c r="F39" s="30" t="str">
        <x:v>Scotland</x:v>
      </x:c>
      <x:c r="G39" s="30" t="str">
        <x:v>Cancelled</x:v>
      </x:c>
      <x:c r="H39" s="35" t="n">
        <x:f>COUNTIF($A$5:$A$104,A39)</x:f>
        <x:v>1</x:v>
      </x:c>
      <x:c r="I39" s="35" t="n">
        <x:f>COUNTIF('Products'!$A$5:$A$44,C39)</x:f>
        <x:v>1</x:v>
      </x:c>
      <x:c r="J39" s="45" t="n">
        <x:f>IFERROR(D39*E39,0)</x:f>
        <x:v>217.5</x:v>
      </x:c>
      <x:c r="K39" s="27" t="str">
        <x:f>IF(OR(A39="",B39="",C39="",D39&lt;=0,G39=""),"CHECK","OK")</x:f>
        <x:v>OK</x:v>
      </x:c>
      <x:c r="L39" s="27" t="str">
        <x:f>IF(H39&gt;1,"DUPLICATE",IF(I39=0,"INVALID SKU",IF(K39="CHECK","INCOMPLETE","OK")))</x:f>
        <x:v>OK</x:v>
      </x:c>
    </x:row>
    <x:row r="40">
      <x:c r="A40" s="30" t="str">
        <x:v>ORD-0036</x:v>
      </x:c>
      <x:c r="B40" s="39" t="n">
        <x:v>46242</x:v>
      </x:c>
      <x:c r="C40" s="30" t="str">
        <x:v>SKU-006</x:v>
      </x:c>
      <x:c r="D40" s="34" t="n">
        <x:v>6</x:v>
      </x:c>
      <x:c r="E40" s="45" t="n">
        <x:f>IFERROR(INDEX('Products'!$M$5:$M$44,MATCH(C40,'Products'!$A$5:$A$44,0)),0)</x:f>
        <x:v>30.75</x:v>
      </x:c>
      <x:c r="F40" s="30" t="str">
        <x:v>North West</x:v>
      </x:c>
      <x:c r="G40" s="30" t="str">
        <x:v>Fulfilled</x:v>
      </x:c>
      <x:c r="H40" s="35" t="n">
        <x:f>COUNTIF($A$5:$A$104,A40)</x:f>
        <x:v>1</x:v>
      </x:c>
      <x:c r="I40" s="35" t="n">
        <x:f>COUNTIF('Products'!$A$5:$A$44,C40)</x:f>
        <x:v>1</x:v>
      </x:c>
      <x:c r="J40" s="45" t="n">
        <x:f>IFERROR(D40*E40,0)</x:f>
        <x:v>184.5</x:v>
      </x:c>
      <x:c r="K40" s="27" t="str">
        <x:f>IF(OR(A40="",B40="",C40="",D40&lt;=0,G40=""),"CHECK","OK")</x:f>
        <x:v>OK</x:v>
      </x:c>
      <x:c r="L40" s="27" t="str">
        <x:f>IF(H40&gt;1,"DUPLICATE",IF(I40=0,"INVALID SKU",IF(K40="CHECK","INCOMPLETE","OK")))</x:f>
        <x:v>OK</x:v>
      </x:c>
    </x:row>
    <x:row r="41">
      <x:c r="A41" s="30" t="str">
        <x:v>ORD-0037</x:v>
      </x:c>
      <x:c r="B41" s="39" t="n">
        <x:v>46243</x:v>
      </x:c>
      <x:c r="C41" s="30" t="str">
        <x:v>SKU-013</x:v>
      </x:c>
      <x:c r="D41" s="34" t="n">
        <x:v>1</x:v>
      </x:c>
      <x:c r="E41" s="45" t="n">
        <x:f>IFERROR(INDEX('Products'!$M$5:$M$44,MATCH(C41,'Products'!$A$5:$A$44,0)),0)</x:f>
        <x:v>18</x:v>
      </x:c>
      <x:c r="F41" s="30" t="str">
        <x:v>Yorkshire</x:v>
      </x:c>
      <x:c r="G41" s="30" t="str">
        <x:v>Fulfilled</x:v>
      </x:c>
      <x:c r="H41" s="35" t="n">
        <x:f>COUNTIF($A$5:$A$104,A41)</x:f>
        <x:v>1</x:v>
      </x:c>
      <x:c r="I41" s="35" t="n">
        <x:f>COUNTIF('Products'!$A$5:$A$44,C41)</x:f>
        <x:v>1</x:v>
      </x:c>
      <x:c r="J41" s="45" t="n">
        <x:f>IFERROR(D41*E41,0)</x:f>
        <x:v>18</x:v>
      </x:c>
      <x:c r="K41" s="27" t="str">
        <x:f>IF(OR(A41="",B41="",C41="",D41&lt;=0,G41=""),"CHECK","OK")</x:f>
        <x:v>OK</x:v>
      </x:c>
      <x:c r="L41" s="27" t="str">
        <x:f>IF(H41&gt;1,"DUPLICATE",IF(I41=0,"INVALID SKU",IF(K41="CHECK","INCOMPLETE","OK")))</x:f>
        <x:v>OK</x:v>
      </x:c>
    </x:row>
    <x:row r="42">
      <x:c r="A42" s="30" t="str">
        <x:v>ORD-0038</x:v>
      </x:c>
      <x:c r="B42" s="39" t="n">
        <x:v>46244</x:v>
      </x:c>
      <x:c r="C42" s="30" t="str">
        <x:v>SKU-020</x:v>
      </x:c>
      <x:c r="D42" s="34" t="n">
        <x:v>2</x:v>
      </x:c>
      <x:c r="E42" s="45" t="n">
        <x:f>IFERROR(INDEX('Products'!$M$5:$M$44,MATCH(C42,'Products'!$A$5:$A$44,0)),0)</x:f>
        <x:v>47.75</x:v>
      </x:c>
      <x:c r="F42" s="30" t="str">
        <x:v>Midlands</x:v>
      </x:c>
      <x:c r="G42" s="30" t="str">
        <x:v>Fulfilled</x:v>
      </x:c>
      <x:c r="H42" s="35" t="n">
        <x:f>COUNTIF($A$5:$A$104,A42)</x:f>
        <x:v>1</x:v>
      </x:c>
      <x:c r="I42" s="35" t="n">
        <x:f>COUNTIF('Products'!$A$5:$A$44,C42)</x:f>
        <x:v>1</x:v>
      </x:c>
      <x:c r="J42" s="45" t="n">
        <x:f>IFERROR(D42*E42,0)</x:f>
        <x:v>95.5</x:v>
      </x:c>
      <x:c r="K42" s="27" t="str">
        <x:f>IF(OR(A42="",B42="",C42="",D42&lt;=0,G42=""),"CHECK","OK")</x:f>
        <x:v>OK</x:v>
      </x:c>
      <x:c r="L42" s="27" t="str">
        <x:f>IF(H42&gt;1,"DUPLICATE",IF(I42=0,"INVALID SKU",IF(K42="CHECK","INCOMPLETE","OK")))</x:f>
        <x:v>OK</x:v>
      </x:c>
    </x:row>
    <x:row r="43">
      <x:c r="A43" s="30" t="str">
        <x:v>ORD-0039</x:v>
      </x:c>
      <x:c r="B43" s="39" t="n">
        <x:v>46245</x:v>
      </x:c>
      <x:c r="C43" s="30" t="str">
        <x:v>SKU-027</x:v>
      </x:c>
      <x:c r="D43" s="34" t="n">
        <x:v>3</x:v>
      </x:c>
      <x:c r="E43" s="45" t="n">
        <x:f>IFERROR(INDEX('Products'!$M$5:$M$44,MATCH(C43,'Products'!$A$5:$A$44,0)),0)</x:f>
        <x:v>35</x:v>
      </x:c>
      <x:c r="F43" s="30" t="str">
        <x:v>London</x:v>
      </x:c>
      <x:c r="G43" s="30" t="str">
        <x:v>Processing</x:v>
      </x:c>
      <x:c r="H43" s="35" t="n">
        <x:f>COUNTIF($A$5:$A$104,A43)</x:f>
        <x:v>1</x:v>
      </x:c>
      <x:c r="I43" s="35" t="n">
        <x:f>COUNTIF('Products'!$A$5:$A$44,C43)</x:f>
        <x:v>1</x:v>
      </x:c>
      <x:c r="J43" s="45" t="n">
        <x:f>IFERROR(D43*E43,0)</x:f>
        <x:v>105</x:v>
      </x:c>
      <x:c r="K43" s="27" t="str">
        <x:f>IF(OR(A43="",B43="",C43="",D43&lt;=0,G43=""),"CHECK","OK")</x:f>
        <x:v>OK</x:v>
      </x:c>
      <x:c r="L43" s="27" t="str">
        <x:f>IF(H43&gt;1,"DUPLICATE",IF(I43=0,"INVALID SKU",IF(K43="CHECK","INCOMPLETE","OK")))</x:f>
        <x:v>OK</x:v>
      </x:c>
    </x:row>
    <x:row r="44">
      <x:c r="A44" s="30" t="str">
        <x:v>ORD-0040</x:v>
      </x:c>
      <x:c r="B44" s="39" t="n">
        <x:v>46246</x:v>
      </x:c>
      <x:c r="C44" s="30" t="str">
        <x:v>SKU-034</x:v>
      </x:c>
      <x:c r="D44" s="34" t="n">
        <x:v>4</x:v>
      </x:c>
      <x:c r="E44" s="45" t="n">
        <x:f>IFERROR(INDEX('Products'!$M$5:$M$44,MATCH(C44,'Products'!$A$5:$A$44,0)),0)</x:f>
        <x:v>22.25</x:v>
      </x:c>
      <x:c r="F44" s="30" t="str">
        <x:v>Scotland</x:v>
      </x:c>
      <x:c r="G44" s="30" t="str"/>
      <x:c r="H44" s="35" t="n">
        <x:f>COUNTIF($A$5:$A$104,A44)</x:f>
        <x:v>1</x:v>
      </x:c>
      <x:c r="I44" s="35" t="n">
        <x:f>COUNTIF('Products'!$A$5:$A$44,C44)</x:f>
        <x:v>1</x:v>
      </x:c>
      <x:c r="J44" s="45" t="n">
        <x:f>IFERROR(D44*E44,0)</x:f>
        <x:v>89</x:v>
      </x:c>
      <x:c r="K44" s="27" t="str">
        <x:f>IF(OR(A44="",B44="",C44="",D44&lt;=0,G44=""),"CHECK","OK")</x:f>
        <x:v>CHECK</x:v>
      </x:c>
      <x:c r="L44" s="27" t="str">
        <x:f>IF(H44&gt;1,"DUPLICATE",IF(I44=0,"INVALID SKU",IF(K44="CHECK","INCOMPLETE","OK")))</x:f>
        <x:v>INCOMPLETE</x:v>
      </x:c>
    </x:row>
    <x:row r="45">
      <x:c r="A45" s="30" t="str">
        <x:v>ORD-0041</x:v>
      </x:c>
      <x:c r="B45" s="39" t="n">
        <x:v>46247</x:v>
      </x:c>
      <x:c r="C45" s="30" t="str">
        <x:v>SKU-001</x:v>
      </x:c>
      <x:c r="D45" s="34" t="n">
        <x:v>5</x:v>
      </x:c>
      <x:c r="E45" s="45" t="n">
        <x:f>IFERROR(INDEX('Products'!$M$5:$M$44,MATCH(C45,'Products'!$A$5:$A$44,0)),0)</x:f>
        <x:v>9.5</x:v>
      </x:c>
      <x:c r="F45" s="30" t="str">
        <x:v>North West</x:v>
      </x:c>
      <x:c r="G45" s="30" t="str">
        <x:v>Fulfilled</x:v>
      </x:c>
      <x:c r="H45" s="35" t="n">
        <x:f>COUNTIF($A$5:$A$104,A45)</x:f>
        <x:v>1</x:v>
      </x:c>
      <x:c r="I45" s="35" t="n">
        <x:f>COUNTIF('Products'!$A$5:$A$44,C45)</x:f>
        <x:v>1</x:v>
      </x:c>
      <x:c r="J45" s="45" t="n">
        <x:f>IFERROR(D45*E45,0)</x:f>
        <x:v>47.5</x:v>
      </x:c>
      <x:c r="K45" s="27" t="str">
        <x:f>IF(OR(A45="",B45="",C45="",D45&lt;=0,G45=""),"CHECK","OK")</x:f>
        <x:v>OK</x:v>
      </x:c>
      <x:c r="L45" s="27" t="str">
        <x:f>IF(H45&gt;1,"DUPLICATE",IF(I45=0,"INVALID SKU",IF(K45="CHECK","INCOMPLETE","OK")))</x:f>
        <x:v>OK</x:v>
      </x:c>
    </x:row>
    <x:row r="46">
      <x:c r="A46" s="30" t="str">
        <x:v>ORD-0042</x:v>
      </x:c>
      <x:c r="B46" s="39" t="n">
        <x:v>46248</x:v>
      </x:c>
      <x:c r="C46" s="30" t="str">
        <x:v>SKU-008</x:v>
      </x:c>
      <x:c r="D46" s="34" t="n">
        <x:v>6</x:v>
      </x:c>
      <x:c r="E46" s="45" t="n">
        <x:f>IFERROR(INDEX('Products'!$M$5:$M$44,MATCH(C46,'Products'!$A$5:$A$44,0)),0)</x:f>
        <x:v>39.25</x:v>
      </x:c>
      <x:c r="F46" s="30" t="str">
        <x:v>Yorkshire</x:v>
      </x:c>
      <x:c r="G46" s="30" t="str">
        <x:v>Fulfilled</x:v>
      </x:c>
      <x:c r="H46" s="35" t="n">
        <x:f>COUNTIF($A$5:$A$104,A46)</x:f>
        <x:v>1</x:v>
      </x:c>
      <x:c r="I46" s="35" t="n">
        <x:f>COUNTIF('Products'!$A$5:$A$44,C46)</x:f>
        <x:v>1</x:v>
      </x:c>
      <x:c r="J46" s="45" t="n">
        <x:f>IFERROR(D46*E46,0)</x:f>
        <x:v>235.5</x:v>
      </x:c>
      <x:c r="K46" s="27" t="str">
        <x:f>IF(OR(A46="",B46="",C46="",D46&lt;=0,G46=""),"CHECK","OK")</x:f>
        <x:v>OK</x:v>
      </x:c>
      <x:c r="L46" s="27" t="str">
        <x:f>IF(H46&gt;1,"DUPLICATE",IF(I46=0,"INVALID SKU",IF(K46="CHECK","INCOMPLETE","OK")))</x:f>
        <x:v>OK</x:v>
      </x:c>
    </x:row>
    <x:row r="47">
      <x:c r="A47" s="30" t="str">
        <x:v>ORD-0043</x:v>
      </x:c>
      <x:c r="B47" s="39" t="n">
        <x:v>46249</x:v>
      </x:c>
      <x:c r="C47" s="30" t="str">
        <x:v>SKU-015</x:v>
      </x:c>
      <x:c r="D47" s="34" t="n">
        <x:v>1</x:v>
      </x:c>
      <x:c r="E47" s="45" t="n">
        <x:f>IFERROR(INDEX('Products'!$M$5:$M$44,MATCH(C47,'Products'!$A$5:$A$44,0)),0)</x:f>
        <x:v>26.5</x:v>
      </x:c>
      <x:c r="F47" s="30" t="str">
        <x:v>Midlands</x:v>
      </x:c>
      <x:c r="G47" s="30" t="str">
        <x:v>Fulfilled</x:v>
      </x:c>
      <x:c r="H47" s="35" t="n">
        <x:f>COUNTIF($A$5:$A$104,A47)</x:f>
        <x:v>1</x:v>
      </x:c>
      <x:c r="I47" s="35" t="n">
        <x:f>COUNTIF('Products'!$A$5:$A$44,C47)</x:f>
        <x:v>1</x:v>
      </x:c>
      <x:c r="J47" s="45" t="n">
        <x:f>IFERROR(D47*E47,0)</x:f>
        <x:v>26.5</x:v>
      </x:c>
      <x:c r="K47" s="27" t="str">
        <x:f>IF(OR(A47="",B47="",C47="",D47&lt;=0,G47=""),"CHECK","OK")</x:f>
        <x:v>OK</x:v>
      </x:c>
      <x:c r="L47" s="27" t="str">
        <x:f>IF(H47&gt;1,"DUPLICATE",IF(I47=0,"INVALID SKU",IF(K47="CHECK","INCOMPLETE","OK")))</x:f>
        <x:v>OK</x:v>
      </x:c>
    </x:row>
    <x:row r="48">
      <x:c r="A48" s="30" t="str">
        <x:v>ORD-0044</x:v>
      </x:c>
      <x:c r="B48" s="39" t="n">
        <x:v>46250</x:v>
      </x:c>
      <x:c r="C48" s="30" t="str">
        <x:v>SKU-022</x:v>
      </x:c>
      <x:c r="D48" s="34" t="n">
        <x:v>2</x:v>
      </x:c>
      <x:c r="E48" s="45" t="n">
        <x:f>IFERROR(INDEX('Products'!$M$5:$M$44,MATCH(C48,'Products'!$A$5:$A$44,0)),0)</x:f>
        <x:v>13.75</x:v>
      </x:c>
      <x:c r="F48" s="30" t="str">
        <x:v>London</x:v>
      </x:c>
      <x:c r="G48" s="30" t="str">
        <x:v>Processing</x:v>
      </x:c>
      <x:c r="H48" s="35" t="n">
        <x:f>COUNTIF($A$5:$A$104,A48)</x:f>
        <x:v>1</x:v>
      </x:c>
      <x:c r="I48" s="35" t="n">
        <x:f>COUNTIF('Products'!$A$5:$A$44,C48)</x:f>
        <x:v>1</x:v>
      </x:c>
      <x:c r="J48" s="45" t="n">
        <x:f>IFERROR(D48*E48,0)</x:f>
        <x:v>27.5</x:v>
      </x:c>
      <x:c r="K48" s="27" t="str">
        <x:f>IF(OR(A48="",B48="",C48="",D48&lt;=0,G48=""),"CHECK","OK")</x:f>
        <x:v>OK</x:v>
      </x:c>
      <x:c r="L48" s="27" t="str">
        <x:f>IF(H48&gt;1,"DUPLICATE",IF(I48=0,"INVALID SKU",IF(K48="CHECK","INCOMPLETE","OK")))</x:f>
        <x:v>OK</x:v>
      </x:c>
    </x:row>
    <x:row r="49">
      <x:c r="A49" s="30" t="str">
        <x:v>ORD-0045</x:v>
      </x:c>
      <x:c r="B49" s="39" t="n">
        <x:v>46251</x:v>
      </x:c>
      <x:c r="C49" s="30" t="str">
        <x:v>SKU-029</x:v>
      </x:c>
      <x:c r="D49" s="34" t="n">
        <x:v>3</x:v>
      </x:c>
      <x:c r="E49" s="45" t="n">
        <x:f>IFERROR(INDEX('Products'!$M$5:$M$44,MATCH(C49,'Products'!$A$5:$A$44,0)),0)</x:f>
        <x:v>43.5</x:v>
      </x:c>
      <x:c r="F49" s="30" t="str">
        <x:v>Scotland</x:v>
      </x:c>
      <x:c r="G49" s="30" t="str">
        <x:v>Cancelled</x:v>
      </x:c>
      <x:c r="H49" s="35" t="n">
        <x:f>COUNTIF($A$5:$A$104,A49)</x:f>
        <x:v>1</x:v>
      </x:c>
      <x:c r="I49" s="35" t="n">
        <x:f>COUNTIF('Products'!$A$5:$A$44,C49)</x:f>
        <x:v>1</x:v>
      </x:c>
      <x:c r="J49" s="45" t="n">
        <x:f>IFERROR(D49*E49,0)</x:f>
        <x:v>130.5</x:v>
      </x:c>
      <x:c r="K49" s="27" t="str">
        <x:f>IF(OR(A49="",B49="",C49="",D49&lt;=0,G49=""),"CHECK","OK")</x:f>
        <x:v>OK</x:v>
      </x:c>
      <x:c r="L49" s="27" t="str">
        <x:f>IF(H49&gt;1,"DUPLICATE",IF(I49=0,"INVALID SKU",IF(K49="CHECK","INCOMPLETE","OK")))</x:f>
        <x:v>OK</x:v>
      </x:c>
    </x:row>
    <x:row r="50">
      <x:c r="A50" s="30" t="str">
        <x:v>ORD-0046</x:v>
      </x:c>
      <x:c r="B50" s="39" t="n">
        <x:v>46252</x:v>
      </x:c>
      <x:c r="C50" s="30" t="str">
        <x:v>SKU-036</x:v>
      </x:c>
      <x:c r="D50" s="34" t="n">
        <x:v>4</x:v>
      </x:c>
      <x:c r="E50" s="45" t="n">
        <x:f>IFERROR(INDEX('Products'!$M$5:$M$44,MATCH(C50,'Products'!$A$5:$A$44,0)),0)</x:f>
        <x:v>30.75</x:v>
      </x:c>
      <x:c r="F50" s="30" t="str">
        <x:v>North West</x:v>
      </x:c>
      <x:c r="G50" s="30" t="str">
        <x:v>Fulfilled</x:v>
      </x:c>
      <x:c r="H50" s="35" t="n">
        <x:f>COUNTIF($A$5:$A$104,A50)</x:f>
        <x:v>1</x:v>
      </x:c>
      <x:c r="I50" s="35" t="n">
        <x:f>COUNTIF('Products'!$A$5:$A$44,C50)</x:f>
        <x:v>1</x:v>
      </x:c>
      <x:c r="J50" s="45" t="n">
        <x:f>IFERROR(D50*E50,0)</x:f>
        <x:v>123</x:v>
      </x:c>
      <x:c r="K50" s="27" t="str">
        <x:f>IF(OR(A50="",B50="",C50="",D50&lt;=0,G50=""),"CHECK","OK")</x:f>
        <x:v>OK</x:v>
      </x:c>
      <x:c r="L50" s="27" t="str">
        <x:f>IF(H50&gt;1,"DUPLICATE",IF(I50=0,"INVALID SKU",IF(K50="CHECK","INCOMPLETE","OK")))</x:f>
        <x:v>OK</x:v>
      </x:c>
    </x:row>
    <x:row r="51">
      <x:c r="A51" s="30" t="str">
        <x:v>ORD-0047</x:v>
      </x:c>
      <x:c r="B51" s="39" t="n">
        <x:v>46253</x:v>
      </x:c>
      <x:c r="C51" s="30" t="str">
        <x:v>SKU-003</x:v>
      </x:c>
      <x:c r="D51" s="34" t="n">
        <x:v>5</x:v>
      </x:c>
      <x:c r="E51" s="45" t="n">
        <x:f>IFERROR(INDEX('Products'!$M$5:$M$44,MATCH(C51,'Products'!$A$5:$A$44,0)),0)</x:f>
        <x:v>18</x:v>
      </x:c>
      <x:c r="F51" s="30" t="str">
        <x:v>Yorkshire</x:v>
      </x:c>
      <x:c r="G51" s="30" t="str">
        <x:v>Fulfilled</x:v>
      </x:c>
      <x:c r="H51" s="35" t="n">
        <x:f>COUNTIF($A$5:$A$104,A51)</x:f>
        <x:v>1</x:v>
      </x:c>
      <x:c r="I51" s="35" t="n">
        <x:f>COUNTIF('Products'!$A$5:$A$44,C51)</x:f>
        <x:v>1</x:v>
      </x:c>
      <x:c r="J51" s="45" t="n">
        <x:f>IFERROR(D51*E51,0)</x:f>
        <x:v>90</x:v>
      </x:c>
      <x:c r="K51" s="27" t="str">
        <x:f>IF(OR(A51="",B51="",C51="",D51&lt;=0,G51=""),"CHECK","OK")</x:f>
        <x:v>OK</x:v>
      </x:c>
      <x:c r="L51" s="27" t="str">
        <x:f>IF(H51&gt;1,"DUPLICATE",IF(I51=0,"INVALID SKU",IF(K51="CHECK","INCOMPLETE","OK")))</x:f>
        <x:v>OK</x:v>
      </x:c>
    </x:row>
    <x:row r="52">
      <x:c r="A52" s="30" t="str">
        <x:v>ORD-0048</x:v>
      </x:c>
      <x:c r="B52" s="39" t="n">
        <x:v>46254</x:v>
      </x:c>
      <x:c r="C52" s="30" t="str">
        <x:v>SKU-010</x:v>
      </x:c>
      <x:c r="D52" s="34" t="n">
        <x:v>6</x:v>
      </x:c>
      <x:c r="E52" s="45" t="n">
        <x:f>IFERROR(INDEX('Products'!$M$5:$M$44,MATCH(C52,'Products'!$A$5:$A$44,0)),0)</x:f>
        <x:v>47.75</x:v>
      </x:c>
      <x:c r="F52" s="30" t="str">
        <x:v>Midlands</x:v>
      </x:c>
      <x:c r="G52" s="30" t="str">
        <x:v>Fulfilled</x:v>
      </x:c>
      <x:c r="H52" s="35" t="n">
        <x:f>COUNTIF($A$5:$A$104,A52)</x:f>
        <x:v>1</x:v>
      </x:c>
      <x:c r="I52" s="35" t="n">
        <x:f>COUNTIF('Products'!$A$5:$A$44,C52)</x:f>
        <x:v>1</x:v>
      </x:c>
      <x:c r="J52" s="45" t="n">
        <x:f>IFERROR(D52*E52,0)</x:f>
        <x:v>286.5</x:v>
      </x:c>
      <x:c r="K52" s="27" t="str">
        <x:f>IF(OR(A52="",B52="",C52="",D52&lt;=0,G52=""),"CHECK","OK")</x:f>
        <x:v>OK</x:v>
      </x:c>
      <x:c r="L52" s="27" t="str">
        <x:f>IF(H52&gt;1,"DUPLICATE",IF(I52=0,"INVALID SKU",IF(K52="CHECK","INCOMPLETE","OK")))</x:f>
        <x:v>OK</x:v>
      </x:c>
    </x:row>
    <x:row r="53">
      <x:c r="A53" s="30" t="str">
        <x:v>ORD-0049</x:v>
      </x:c>
      <x:c r="B53" s="39" t="n">
        <x:v>46255</x:v>
      </x:c>
      <x:c r="C53" s="30" t="str">
        <x:v>SKU-017</x:v>
      </x:c>
      <x:c r="D53" s="34" t="n">
        <x:v>1</x:v>
      </x:c>
      <x:c r="E53" s="45" t="n">
        <x:f>IFERROR(INDEX('Products'!$M$5:$M$44,MATCH(C53,'Products'!$A$5:$A$44,0)),0)</x:f>
        <x:v>35</x:v>
      </x:c>
      <x:c r="F53" s="30" t="str">
        <x:v>London</x:v>
      </x:c>
      <x:c r="G53" s="30" t="str">
        <x:v>Processing</x:v>
      </x:c>
      <x:c r="H53" s="35" t="n">
        <x:f>COUNTIF($A$5:$A$104,A53)</x:f>
        <x:v>1</x:v>
      </x:c>
      <x:c r="I53" s="35" t="n">
        <x:f>COUNTIF('Products'!$A$5:$A$44,C53)</x:f>
        <x:v>1</x:v>
      </x:c>
      <x:c r="J53" s="45" t="n">
        <x:f>IFERROR(D53*E53,0)</x:f>
        <x:v>35</x:v>
      </x:c>
      <x:c r="K53" s="27" t="str">
        <x:f>IF(OR(A53="",B53="",C53="",D53&lt;=0,G53=""),"CHECK","OK")</x:f>
        <x:v>OK</x:v>
      </x:c>
      <x:c r="L53" s="27" t="str">
        <x:f>IF(H53&gt;1,"DUPLICATE",IF(I53=0,"INVALID SKU",IF(K53="CHECK","INCOMPLETE","OK")))</x:f>
        <x:v>OK</x:v>
      </x:c>
    </x:row>
    <x:row r="54">
      <x:c r="A54" s="30" t="str">
        <x:v>ORD-0050</x:v>
      </x:c>
      <x:c r="B54" s="39" t="n">
        <x:v>46256</x:v>
      </x:c>
      <x:c r="C54" s="30" t="str">
        <x:v>SKU-024</x:v>
      </x:c>
      <x:c r="D54" s="34" t="n">
        <x:v>2</x:v>
      </x:c>
      <x:c r="E54" s="45" t="n">
        <x:f>IFERROR(INDEX('Products'!$M$5:$M$44,MATCH(C54,'Products'!$A$5:$A$44,0)),0)</x:f>
        <x:v>22.25</x:v>
      </x:c>
      <x:c r="F54" s="30" t="str">
        <x:v>Scotland</x:v>
      </x:c>
      <x:c r="G54" s="30" t="str">
        <x:v>Cancelled</x:v>
      </x:c>
      <x:c r="H54" s="35" t="n">
        <x:f>COUNTIF($A$5:$A$104,A54)</x:f>
        <x:v>1</x:v>
      </x:c>
      <x:c r="I54" s="35" t="n">
        <x:f>COUNTIF('Products'!$A$5:$A$44,C54)</x:f>
        <x:v>1</x:v>
      </x:c>
      <x:c r="J54" s="45" t="n">
        <x:f>IFERROR(D54*E54,0)</x:f>
        <x:v>44.5</x:v>
      </x:c>
      <x:c r="K54" s="27" t="str">
        <x:f>IF(OR(A54="",B54="",C54="",D54&lt;=0,G54=""),"CHECK","OK")</x:f>
        <x:v>OK</x:v>
      </x:c>
      <x:c r="L54" s="27" t="str">
        <x:f>IF(H54&gt;1,"DUPLICATE",IF(I54=0,"INVALID SKU",IF(K54="CHECK","INCOMPLETE","OK")))</x:f>
        <x:v>OK</x:v>
      </x:c>
    </x:row>
    <x:row r="55">
      <x:c r="A55" s="30" t="str">
        <x:v>ORD-0051</x:v>
      </x:c>
      <x:c r="B55" s="39" t="n">
        <x:v>46257</x:v>
      </x:c>
      <x:c r="C55" s="30" t="str">
        <x:v>SKU-031</x:v>
      </x:c>
      <x:c r="D55" s="34" t="n">
        <x:v>3</x:v>
      </x:c>
      <x:c r="E55" s="45" t="n">
        <x:f>IFERROR(INDEX('Products'!$M$5:$M$44,MATCH(C55,'Products'!$A$5:$A$44,0)),0)</x:f>
        <x:v>9.5</x:v>
      </x:c>
      <x:c r="F55" s="30" t="str">
        <x:v>North West</x:v>
      </x:c>
      <x:c r="G55" s="30" t="str">
        <x:v>Fulfilled</x:v>
      </x:c>
      <x:c r="H55" s="35" t="n">
        <x:f>COUNTIF($A$5:$A$104,A55)</x:f>
        <x:v>1</x:v>
      </x:c>
      <x:c r="I55" s="35" t="n">
        <x:f>COUNTIF('Products'!$A$5:$A$44,C55)</x:f>
        <x:v>1</x:v>
      </x:c>
      <x:c r="J55" s="45" t="n">
        <x:f>IFERROR(D55*E55,0)</x:f>
        <x:v>28.5</x:v>
      </x:c>
      <x:c r="K55" s="27" t="str">
        <x:f>IF(OR(A55="",B55="",C55="",D55&lt;=0,G55=""),"CHECK","OK")</x:f>
        <x:v>OK</x:v>
      </x:c>
      <x:c r="L55" s="27" t="str">
        <x:f>IF(H55&gt;1,"DUPLICATE",IF(I55=0,"INVALID SKU",IF(K55="CHECK","INCOMPLETE","OK")))</x:f>
        <x:v>OK</x:v>
      </x:c>
    </x:row>
    <x:row r="56">
      <x:c r="A56" s="30" t="str">
        <x:v>ORD-0052</x:v>
      </x:c>
      <x:c r="B56" s="39" t="n">
        <x:v>46258</x:v>
      </x:c>
      <x:c r="C56" s="30" t="str">
        <x:v>SKU-038</x:v>
      </x:c>
      <x:c r="D56" s="34" t="n">
        <x:v>4</x:v>
      </x:c>
      <x:c r="E56" s="45" t="n">
        <x:f>IFERROR(INDEX('Products'!$M$5:$M$44,MATCH(C56,'Products'!$A$5:$A$44,0)),0)</x:f>
        <x:v>39.25</x:v>
      </x:c>
      <x:c r="F56" s="30" t="str">
        <x:v>Yorkshire</x:v>
      </x:c>
      <x:c r="G56" s="30" t="str">
        <x:v>Fulfilled</x:v>
      </x:c>
      <x:c r="H56" s="35" t="n">
        <x:f>COUNTIF($A$5:$A$104,A56)</x:f>
        <x:v>1</x:v>
      </x:c>
      <x:c r="I56" s="35" t="n">
        <x:f>COUNTIF('Products'!$A$5:$A$44,C56)</x:f>
        <x:v>1</x:v>
      </x:c>
      <x:c r="J56" s="45" t="n">
        <x:f>IFERROR(D56*E56,0)</x:f>
        <x:v>157</x:v>
      </x:c>
      <x:c r="K56" s="27" t="str">
        <x:f>IF(OR(A56="",B56="",C56="",D56&lt;=0,G56=""),"CHECK","OK")</x:f>
        <x:v>OK</x:v>
      </x:c>
      <x:c r="L56" s="27" t="str">
        <x:f>IF(H56&gt;1,"DUPLICATE",IF(I56=0,"INVALID SKU",IF(K56="CHECK","INCOMPLETE","OK")))</x:f>
        <x:v>OK</x:v>
      </x:c>
    </x:row>
    <x:row r="57">
      <x:c r="A57" s="30" t="str">
        <x:v>ORD-0053</x:v>
      </x:c>
      <x:c r="B57" s="39" t="n">
        <x:v>46259</x:v>
      </x:c>
      <x:c r="C57" s="30" t="str">
        <x:v>SKU-005</x:v>
      </x:c>
      <x:c r="D57" s="34" t="n">
        <x:v>5</x:v>
      </x:c>
      <x:c r="E57" s="45" t="n">
        <x:f>IFERROR(INDEX('Products'!$M$5:$M$44,MATCH(C57,'Products'!$A$5:$A$44,0)),0)</x:f>
        <x:v>26.5</x:v>
      </x:c>
      <x:c r="F57" s="30" t="str">
        <x:v>Midlands</x:v>
      </x:c>
      <x:c r="G57" s="30" t="str">
        <x:v>Fulfilled</x:v>
      </x:c>
      <x:c r="H57" s="35" t="n">
        <x:f>COUNTIF($A$5:$A$104,A57)</x:f>
        <x:v>1</x:v>
      </x:c>
      <x:c r="I57" s="35" t="n">
        <x:f>COUNTIF('Products'!$A$5:$A$44,C57)</x:f>
        <x:v>1</x:v>
      </x:c>
      <x:c r="J57" s="45" t="n">
        <x:f>IFERROR(D57*E57,0)</x:f>
        <x:v>132.5</x:v>
      </x:c>
      <x:c r="K57" s="27" t="str">
        <x:f>IF(OR(A57="",B57="",C57="",D57&lt;=0,G57=""),"CHECK","OK")</x:f>
        <x:v>OK</x:v>
      </x:c>
      <x:c r="L57" s="27" t="str">
        <x:f>IF(H57&gt;1,"DUPLICATE",IF(I57=0,"INVALID SKU",IF(K57="CHECK","INCOMPLETE","OK")))</x:f>
        <x:v>OK</x:v>
      </x:c>
    </x:row>
    <x:row r="58">
      <x:c r="A58" s="30" t="str">
        <x:v>ORD-0054</x:v>
      </x:c>
      <x:c r="B58" s="39" t="n">
        <x:v>46260</x:v>
      </x:c>
      <x:c r="C58" s="30" t="str">
        <x:v>SKU-012</x:v>
      </x:c>
      <x:c r="D58" s="34" t="n">
        <x:v>6</x:v>
      </x:c>
      <x:c r="E58" s="45" t="n">
        <x:f>IFERROR(INDEX('Products'!$M$5:$M$44,MATCH(C58,'Products'!$A$5:$A$44,0)),0)</x:f>
        <x:v>13.75</x:v>
      </x:c>
      <x:c r="F58" s="30" t="str">
        <x:v>London</x:v>
      </x:c>
      <x:c r="G58" s="30" t="str">
        <x:v>Processing</x:v>
      </x:c>
      <x:c r="H58" s="35" t="n">
        <x:f>COUNTIF($A$5:$A$104,A58)</x:f>
        <x:v>1</x:v>
      </x:c>
      <x:c r="I58" s="35" t="n">
        <x:f>COUNTIF('Products'!$A$5:$A$44,C58)</x:f>
        <x:v>1</x:v>
      </x:c>
      <x:c r="J58" s="45" t="n">
        <x:f>IFERROR(D58*E58,0)</x:f>
        <x:v>82.5</x:v>
      </x:c>
      <x:c r="K58" s="27" t="str">
        <x:f>IF(OR(A58="",B58="",C58="",D58&lt;=0,G58=""),"CHECK","OK")</x:f>
        <x:v>OK</x:v>
      </x:c>
      <x:c r="L58" s="27" t="str">
        <x:f>IF(H58&gt;1,"DUPLICATE",IF(I58=0,"INVALID SKU",IF(K58="CHECK","INCOMPLETE","OK")))</x:f>
        <x:v>OK</x:v>
      </x:c>
    </x:row>
    <x:row r="59">
      <x:c r="A59" s="30" t="str">
        <x:v>ORD-0055</x:v>
      </x:c>
      <x:c r="B59" s="39" t="n">
        <x:v>46261</x:v>
      </x:c>
      <x:c r="C59" s="30" t="str">
        <x:v>SKU-019</x:v>
      </x:c>
      <x:c r="D59" s="34" t="n">
        <x:v>0</x:v>
      </x:c>
      <x:c r="E59" s="45" t="n">
        <x:f>IFERROR(INDEX('Products'!$M$5:$M$44,MATCH(C59,'Products'!$A$5:$A$44,0)),0)</x:f>
        <x:v>43.5</x:v>
      </x:c>
      <x:c r="F59" s="30" t="str">
        <x:v>Scotland</x:v>
      </x:c>
      <x:c r="G59" s="30" t="str">
        <x:v>Cancelled</x:v>
      </x:c>
      <x:c r="H59" s="35" t="n">
        <x:f>COUNTIF($A$5:$A$104,A59)</x:f>
        <x:v>1</x:v>
      </x:c>
      <x:c r="I59" s="35" t="n">
        <x:f>COUNTIF('Products'!$A$5:$A$44,C59)</x:f>
        <x:v>1</x:v>
      </x:c>
      <x:c r="J59" s="45" t="n">
        <x:f>IFERROR(D59*E59,0)</x:f>
        <x:v>0</x:v>
      </x:c>
      <x:c r="K59" s="27" t="str">
        <x:f>IF(OR(A59="",B59="",C59="",D59&lt;=0,G59=""),"CHECK","OK")</x:f>
        <x:v>CHECK</x:v>
      </x:c>
      <x:c r="L59" s="27" t="str">
        <x:f>IF(H59&gt;1,"DUPLICATE",IF(I59=0,"INVALID SKU",IF(K59="CHECK","INCOMPLETE","OK")))</x:f>
        <x:v>INCOMPLETE</x:v>
      </x:c>
    </x:row>
    <x:row r="60">
      <x:c r="A60" s="30" t="str">
        <x:v>ORD-0056</x:v>
      </x:c>
      <x:c r="B60" s="39" t="n">
        <x:v>46262</x:v>
      </x:c>
      <x:c r="C60" s="30" t="str">
        <x:v>SKU-026</x:v>
      </x:c>
      <x:c r="D60" s="34" t="n">
        <x:v>2</x:v>
      </x:c>
      <x:c r="E60" s="45" t="n">
        <x:f>IFERROR(INDEX('Products'!$M$5:$M$44,MATCH(C60,'Products'!$A$5:$A$44,0)),0)</x:f>
        <x:v>30.75</x:v>
      </x:c>
      <x:c r="F60" s="30" t="str">
        <x:v>North West</x:v>
      </x:c>
      <x:c r="G60" s="30" t="str">
        <x:v>Fulfilled</x:v>
      </x:c>
      <x:c r="H60" s="35" t="n">
        <x:f>COUNTIF($A$5:$A$104,A60)</x:f>
        <x:v>1</x:v>
      </x:c>
      <x:c r="I60" s="35" t="n">
        <x:f>COUNTIF('Products'!$A$5:$A$44,C60)</x:f>
        <x:v>1</x:v>
      </x:c>
      <x:c r="J60" s="45" t="n">
        <x:f>IFERROR(D60*E60,0)</x:f>
        <x:v>61.5</x:v>
      </x:c>
      <x:c r="K60" s="27" t="str">
        <x:f>IF(OR(A60="",B60="",C60="",D60&lt;=0,G60=""),"CHECK","OK")</x:f>
        <x:v>OK</x:v>
      </x:c>
      <x:c r="L60" s="27" t="str">
        <x:f>IF(H60&gt;1,"DUPLICATE",IF(I60=0,"INVALID SKU",IF(K60="CHECK","INCOMPLETE","OK")))</x:f>
        <x:v>OK</x:v>
      </x:c>
    </x:row>
    <x:row r="61">
      <x:c r="A61" s="30" t="str">
        <x:v>ORD-0057</x:v>
      </x:c>
      <x:c r="B61" s="39" t="n">
        <x:v>46235</x:v>
      </x:c>
      <x:c r="C61" s="30" t="str">
        <x:v>SKU-033</x:v>
      </x:c>
      <x:c r="D61" s="34" t="n">
        <x:v>3</x:v>
      </x:c>
      <x:c r="E61" s="45" t="n">
        <x:f>IFERROR(INDEX('Products'!$M$5:$M$44,MATCH(C61,'Products'!$A$5:$A$44,0)),0)</x:f>
        <x:v>18</x:v>
      </x:c>
      <x:c r="F61" s="30" t="str">
        <x:v>Yorkshire</x:v>
      </x:c>
      <x:c r="G61" s="30" t="str">
        <x:v>Fulfilled</x:v>
      </x:c>
      <x:c r="H61" s="35" t="n">
        <x:f>COUNTIF($A$5:$A$104,A61)</x:f>
        <x:v>1</x:v>
      </x:c>
      <x:c r="I61" s="35" t="n">
        <x:f>COUNTIF('Products'!$A$5:$A$44,C61)</x:f>
        <x:v>1</x:v>
      </x:c>
      <x:c r="J61" s="45" t="n">
        <x:f>IFERROR(D61*E61,0)</x:f>
        <x:v>54</x:v>
      </x:c>
      <x:c r="K61" s="27" t="str">
        <x:f>IF(OR(A61="",B61="",C61="",D61&lt;=0,G61=""),"CHECK","OK")</x:f>
        <x:v>OK</x:v>
      </x:c>
      <x:c r="L61" s="27" t="str">
        <x:f>IF(H61&gt;1,"DUPLICATE",IF(I61=0,"INVALID SKU",IF(K61="CHECK","INCOMPLETE","OK")))</x:f>
        <x:v>OK</x:v>
      </x:c>
    </x:row>
    <x:row r="62">
      <x:c r="A62" s="30" t="str">
        <x:v>ORD-0058</x:v>
      </x:c>
      <x:c r="B62" s="39" t="n">
        <x:v>46236</x:v>
      </x:c>
      <x:c r="C62" s="30" t="str">
        <x:v>SKU-040</x:v>
      </x:c>
      <x:c r="D62" s="34" t="n">
        <x:v>4</x:v>
      </x:c>
      <x:c r="E62" s="45" t="n">
        <x:f>IFERROR(INDEX('Products'!$M$5:$M$44,MATCH(C62,'Products'!$A$5:$A$44,0)),0)</x:f>
        <x:v>47.75</x:v>
      </x:c>
      <x:c r="F62" s="30" t="str">
        <x:v>Midlands</x:v>
      </x:c>
      <x:c r="G62" s="30" t="str">
        <x:v>Fulfilled</x:v>
      </x:c>
      <x:c r="H62" s="35" t="n">
        <x:f>COUNTIF($A$5:$A$104,A62)</x:f>
        <x:v>1</x:v>
      </x:c>
      <x:c r="I62" s="35" t="n">
        <x:f>COUNTIF('Products'!$A$5:$A$44,C62)</x:f>
        <x:v>1</x:v>
      </x:c>
      <x:c r="J62" s="45" t="n">
        <x:f>IFERROR(D62*E62,0)</x:f>
        <x:v>191</x:v>
      </x:c>
      <x:c r="K62" s="27" t="str">
        <x:f>IF(OR(A62="",B62="",C62="",D62&lt;=0,G62=""),"CHECK","OK")</x:f>
        <x:v>OK</x:v>
      </x:c>
      <x:c r="L62" s="27" t="str">
        <x:f>IF(H62&gt;1,"DUPLICATE",IF(I62=0,"INVALID SKU",IF(K62="CHECK","INCOMPLETE","OK")))</x:f>
        <x:v>OK</x:v>
      </x:c>
    </x:row>
    <x:row r="63">
      <x:c r="A63" s="30" t="str">
        <x:v>ORD-0059</x:v>
      </x:c>
      <x:c r="B63" s="39" t="n">
        <x:v>46237</x:v>
      </x:c>
      <x:c r="C63" s="30" t="str">
        <x:v>SKU-007</x:v>
      </x:c>
      <x:c r="D63" s="34" t="n">
        <x:v>5</x:v>
      </x:c>
      <x:c r="E63" s="45" t="n">
        <x:f>IFERROR(INDEX('Products'!$M$5:$M$44,MATCH(C63,'Products'!$A$5:$A$44,0)),0)</x:f>
        <x:v>35</x:v>
      </x:c>
      <x:c r="F63" s="30" t="str">
        <x:v>London</x:v>
      </x:c>
      <x:c r="G63" s="30" t="str">
        <x:v>Processing</x:v>
      </x:c>
      <x:c r="H63" s="35" t="n">
        <x:f>COUNTIF($A$5:$A$104,A63)</x:f>
        <x:v>1</x:v>
      </x:c>
      <x:c r="I63" s="35" t="n">
        <x:f>COUNTIF('Products'!$A$5:$A$44,C63)</x:f>
        <x:v>1</x:v>
      </x:c>
      <x:c r="J63" s="45" t="n">
        <x:f>IFERROR(D63*E63,0)</x:f>
        <x:v>175</x:v>
      </x:c>
      <x:c r="K63" s="27" t="str">
        <x:f>IF(OR(A63="",B63="",C63="",D63&lt;=0,G63=""),"CHECK","OK")</x:f>
        <x:v>OK</x:v>
      </x:c>
      <x:c r="L63" s="27" t="str">
        <x:f>IF(H63&gt;1,"DUPLICATE",IF(I63=0,"INVALID SKU",IF(K63="CHECK","INCOMPLETE","OK")))</x:f>
        <x:v>OK</x:v>
      </x:c>
    </x:row>
    <x:row r="64">
      <x:c r="A64" s="30" t="str">
        <x:v>ORD-0060</x:v>
      </x:c>
      <x:c r="B64" s="39" t="n">
        <x:v>46238</x:v>
      </x:c>
      <x:c r="C64" s="30" t="str">
        <x:v>SKU-014</x:v>
      </x:c>
      <x:c r="D64" s="34" t="n">
        <x:v>6</x:v>
      </x:c>
      <x:c r="E64" s="45" t="n">
        <x:f>IFERROR(INDEX('Products'!$M$5:$M$44,MATCH(C64,'Products'!$A$5:$A$44,0)),0)</x:f>
        <x:v>22.25</x:v>
      </x:c>
      <x:c r="F64" s="30" t="str">
        <x:v>Scotland</x:v>
      </x:c>
      <x:c r="G64" s="30" t="str">
        <x:v>Cancelled</x:v>
      </x:c>
      <x:c r="H64" s="35" t="n">
        <x:f>COUNTIF($A$5:$A$104,A64)</x:f>
        <x:v>1</x:v>
      </x:c>
      <x:c r="I64" s="35" t="n">
        <x:f>COUNTIF('Products'!$A$5:$A$44,C64)</x:f>
        <x:v>1</x:v>
      </x:c>
      <x:c r="J64" s="45" t="n">
        <x:f>IFERROR(D64*E64,0)</x:f>
        <x:v>133.5</x:v>
      </x:c>
      <x:c r="K64" s="27" t="str">
        <x:f>IF(OR(A64="",B64="",C64="",D64&lt;=0,G64=""),"CHECK","OK")</x:f>
        <x:v>OK</x:v>
      </x:c>
      <x:c r="L64" s="27" t="str">
        <x:f>IF(H64&gt;1,"DUPLICATE",IF(I64=0,"INVALID SKU",IF(K64="CHECK","INCOMPLETE","OK")))</x:f>
        <x:v>OK</x:v>
      </x:c>
    </x:row>
    <x:row r="65">
      <x:c r="A65" s="30" t="str">
        <x:v>ORD-0061</x:v>
      </x:c>
      <x:c r="B65" s="39" t="n">
        <x:v>46239</x:v>
      </x:c>
      <x:c r="C65" s="30" t="str">
        <x:v>SKU-021</x:v>
      </x:c>
      <x:c r="D65" s="34" t="n">
        <x:v>1</x:v>
      </x:c>
      <x:c r="E65" s="45" t="n">
        <x:f>IFERROR(INDEX('Products'!$M$5:$M$44,MATCH(C65,'Products'!$A$5:$A$44,0)),0)</x:f>
        <x:v>9.5</x:v>
      </x:c>
      <x:c r="F65" s="30" t="str">
        <x:v>North West</x:v>
      </x:c>
      <x:c r="G65" s="30" t="str">
        <x:v>Fulfilled</x:v>
      </x:c>
      <x:c r="H65" s="35" t="n">
        <x:f>COUNTIF($A$5:$A$104,A65)</x:f>
        <x:v>1</x:v>
      </x:c>
      <x:c r="I65" s="35" t="n">
        <x:f>COUNTIF('Products'!$A$5:$A$44,C65)</x:f>
        <x:v>1</x:v>
      </x:c>
      <x:c r="J65" s="45" t="n">
        <x:f>IFERROR(D65*E65,0)</x:f>
        <x:v>9.5</x:v>
      </x:c>
      <x:c r="K65" s="27" t="str">
        <x:f>IF(OR(A65="",B65="",C65="",D65&lt;=0,G65=""),"CHECK","OK")</x:f>
        <x:v>OK</x:v>
      </x:c>
      <x:c r="L65" s="27" t="str">
        <x:f>IF(H65&gt;1,"DUPLICATE",IF(I65=0,"INVALID SKU",IF(K65="CHECK","INCOMPLETE","OK")))</x:f>
        <x:v>OK</x:v>
      </x:c>
    </x:row>
    <x:row r="66">
      <x:c r="A66" s="30" t="str">
        <x:v>ORD-0062</x:v>
      </x:c>
      <x:c r="B66" s="39" t="n">
        <x:v>46240</x:v>
      </x:c>
      <x:c r="C66" s="30" t="str">
        <x:v>SKU-028</x:v>
      </x:c>
      <x:c r="D66" s="34" t="n">
        <x:v>2</x:v>
      </x:c>
      <x:c r="E66" s="45" t="n">
        <x:f>IFERROR(INDEX('Products'!$M$5:$M$44,MATCH(C66,'Products'!$A$5:$A$44,0)),0)</x:f>
        <x:v>39.25</x:v>
      </x:c>
      <x:c r="F66" s="30" t="str">
        <x:v>Yorkshire</x:v>
      </x:c>
      <x:c r="G66" s="30" t="str">
        <x:v>Fulfilled</x:v>
      </x:c>
      <x:c r="H66" s="35" t="n">
        <x:f>COUNTIF($A$5:$A$104,A66)</x:f>
        <x:v>1</x:v>
      </x:c>
      <x:c r="I66" s="35" t="n">
        <x:f>COUNTIF('Products'!$A$5:$A$44,C66)</x:f>
        <x:v>1</x:v>
      </x:c>
      <x:c r="J66" s="45" t="n">
        <x:f>IFERROR(D66*E66,0)</x:f>
        <x:v>78.5</x:v>
      </x:c>
      <x:c r="K66" s="27" t="str">
        <x:f>IF(OR(A66="",B66="",C66="",D66&lt;=0,G66=""),"CHECK","OK")</x:f>
        <x:v>OK</x:v>
      </x:c>
      <x:c r="L66" s="27" t="str">
        <x:f>IF(H66&gt;1,"DUPLICATE",IF(I66=0,"INVALID SKU",IF(K66="CHECK","INCOMPLETE","OK")))</x:f>
        <x:v>OK</x:v>
      </x:c>
    </x:row>
    <x:row r="67">
      <x:c r="A67" s="30" t="str">
        <x:v>ORD-0063</x:v>
      </x:c>
      <x:c r="B67" s="39" t="n">
        <x:v>46241</x:v>
      </x:c>
      <x:c r="C67" s="30" t="str">
        <x:v>SKU-035</x:v>
      </x:c>
      <x:c r="D67" s="34" t="n">
        <x:v>3</x:v>
      </x:c>
      <x:c r="E67" s="45" t="n">
        <x:f>IFERROR(INDEX('Products'!$M$5:$M$44,MATCH(C67,'Products'!$A$5:$A$44,0)),0)</x:f>
        <x:v>26.5</x:v>
      </x:c>
      <x:c r="F67" s="30" t="str">
        <x:v>Midlands</x:v>
      </x:c>
      <x:c r="G67" s="30" t="str">
        <x:v>Fulfilled</x:v>
      </x:c>
      <x:c r="H67" s="35" t="n">
        <x:f>COUNTIF($A$5:$A$104,A67)</x:f>
        <x:v>1</x:v>
      </x:c>
      <x:c r="I67" s="35" t="n">
        <x:f>COUNTIF('Products'!$A$5:$A$44,C67)</x:f>
        <x:v>1</x:v>
      </x:c>
      <x:c r="J67" s="45" t="n">
        <x:f>IFERROR(D67*E67,0)</x:f>
        <x:v>79.5</x:v>
      </x:c>
      <x:c r="K67" s="27" t="str">
        <x:f>IF(OR(A67="",B67="",C67="",D67&lt;=0,G67=""),"CHECK","OK")</x:f>
        <x:v>OK</x:v>
      </x:c>
      <x:c r="L67" s="27" t="str">
        <x:f>IF(H67&gt;1,"DUPLICATE",IF(I67=0,"INVALID SKU",IF(K67="CHECK","INCOMPLETE","OK")))</x:f>
        <x:v>OK</x:v>
      </x:c>
    </x:row>
    <x:row r="68">
      <x:c r="A68" s="30" t="str">
        <x:v>ORD-0064</x:v>
      </x:c>
      <x:c r="B68" s="39" t="n">
        <x:v>46242</x:v>
      </x:c>
      <x:c r="C68" s="30" t="str">
        <x:v>SKU-002</x:v>
      </x:c>
      <x:c r="D68" s="34" t="n">
        <x:v>4</x:v>
      </x:c>
      <x:c r="E68" s="45" t="n">
        <x:f>IFERROR(INDEX('Products'!$M$5:$M$44,MATCH(C68,'Products'!$A$5:$A$44,0)),0)</x:f>
        <x:v>13.75</x:v>
      </x:c>
      <x:c r="F68" s="30" t="str">
        <x:v>London</x:v>
      </x:c>
      <x:c r="G68" s="30" t="str">
        <x:v>Processing</x:v>
      </x:c>
      <x:c r="H68" s="35" t="n">
        <x:f>COUNTIF($A$5:$A$104,A68)</x:f>
        <x:v>1</x:v>
      </x:c>
      <x:c r="I68" s="35" t="n">
        <x:f>COUNTIF('Products'!$A$5:$A$44,C68)</x:f>
        <x:v>1</x:v>
      </x:c>
      <x:c r="J68" s="45" t="n">
        <x:f>IFERROR(D68*E68,0)</x:f>
        <x:v>55</x:v>
      </x:c>
      <x:c r="K68" s="27" t="str">
        <x:f>IF(OR(A68="",B68="",C68="",D68&lt;=0,G68=""),"CHECK","OK")</x:f>
        <x:v>OK</x:v>
      </x:c>
      <x:c r="L68" s="27" t="str">
        <x:f>IF(H68&gt;1,"DUPLICATE",IF(I68=0,"INVALID SKU",IF(K68="CHECK","INCOMPLETE","OK")))</x:f>
        <x:v>OK</x:v>
      </x:c>
    </x:row>
    <x:row r="69">
      <x:c r="A69" s="30" t="str">
        <x:v>ORD-0065</x:v>
      </x:c>
      <x:c r="B69" s="39" t="n">
        <x:v>46243</x:v>
      </x:c>
      <x:c r="C69" s="30" t="str">
        <x:v>SKU-009</x:v>
      </x:c>
      <x:c r="D69" s="34" t="n">
        <x:v>5</x:v>
      </x:c>
      <x:c r="E69" s="45" t="n">
        <x:f>IFERROR(INDEX('Products'!$M$5:$M$44,MATCH(C69,'Products'!$A$5:$A$44,0)),0)</x:f>
        <x:v>43.5</x:v>
      </x:c>
      <x:c r="F69" s="30" t="str">
        <x:v>Scotland</x:v>
      </x:c>
      <x:c r="G69" s="30" t="str">
        <x:v>Cancelled</x:v>
      </x:c>
      <x:c r="H69" s="35" t="n">
        <x:f>COUNTIF($A$5:$A$104,A69)</x:f>
        <x:v>1</x:v>
      </x:c>
      <x:c r="I69" s="35" t="n">
        <x:f>COUNTIF('Products'!$A$5:$A$44,C69)</x:f>
        <x:v>1</x:v>
      </x:c>
      <x:c r="J69" s="45" t="n">
        <x:f>IFERROR(D69*E69,0)</x:f>
        <x:v>217.5</x:v>
      </x:c>
      <x:c r="K69" s="27" t="str">
        <x:f>IF(OR(A69="",B69="",C69="",D69&lt;=0,G69=""),"CHECK","OK")</x:f>
        <x:v>OK</x:v>
      </x:c>
      <x:c r="L69" s="27" t="str">
        <x:f>IF(H69&gt;1,"DUPLICATE",IF(I69=0,"INVALID SKU",IF(K69="CHECK","INCOMPLETE","OK")))</x:f>
        <x:v>OK</x:v>
      </x:c>
    </x:row>
    <x:row r="70">
      <x:c r="A70" s="30" t="str">
        <x:v>ORD-0066</x:v>
      </x:c>
      <x:c r="B70" s="39" t="n">
        <x:v>46244</x:v>
      </x:c>
      <x:c r="C70" s="30" t="str">
        <x:v>SKU-016</x:v>
      </x:c>
      <x:c r="D70" s="34" t="n">
        <x:v>6</x:v>
      </x:c>
      <x:c r="E70" s="45" t="n">
        <x:f>IFERROR(INDEX('Products'!$M$5:$M$44,MATCH(C70,'Products'!$A$5:$A$44,0)),0)</x:f>
        <x:v>30.75</x:v>
      </x:c>
      <x:c r="F70" s="30" t="str">
        <x:v>North West</x:v>
      </x:c>
      <x:c r="G70" s="30" t="str">
        <x:v>Fulfilled</x:v>
      </x:c>
      <x:c r="H70" s="35" t="n">
        <x:f>COUNTIF($A$5:$A$104,A70)</x:f>
        <x:v>1</x:v>
      </x:c>
      <x:c r="I70" s="35" t="n">
        <x:f>COUNTIF('Products'!$A$5:$A$44,C70)</x:f>
        <x:v>1</x:v>
      </x:c>
      <x:c r="J70" s="45" t="n">
        <x:f>IFERROR(D70*E70,0)</x:f>
        <x:v>184.5</x:v>
      </x:c>
      <x:c r="K70" s="27" t="str">
        <x:f>IF(OR(A70="",B70="",C70="",D70&lt;=0,G70=""),"CHECK","OK")</x:f>
        <x:v>OK</x:v>
      </x:c>
      <x:c r="L70" s="27" t="str">
        <x:f>IF(H70&gt;1,"DUPLICATE",IF(I70=0,"INVALID SKU",IF(K70="CHECK","INCOMPLETE","OK")))</x:f>
        <x:v>OK</x:v>
      </x:c>
    </x:row>
    <x:row r="71">
      <x:c r="A71" s="30" t="str">
        <x:v>ORD-0067</x:v>
      </x:c>
      <x:c r="B71" s="39" t="n">
        <x:v>46245</x:v>
      </x:c>
      <x:c r="C71" s="30" t="str">
        <x:v>SKU-023</x:v>
      </x:c>
      <x:c r="D71" s="34" t="n">
        <x:v>1</x:v>
      </x:c>
      <x:c r="E71" s="45" t="n">
        <x:f>IFERROR(INDEX('Products'!$M$5:$M$44,MATCH(C71,'Products'!$A$5:$A$44,0)),0)</x:f>
        <x:v>18</x:v>
      </x:c>
      <x:c r="F71" s="30" t="str">
        <x:v>Yorkshire</x:v>
      </x:c>
      <x:c r="G71" s="30" t="str">
        <x:v>Fulfilled</x:v>
      </x:c>
      <x:c r="H71" s="35" t="n">
        <x:f>COUNTIF($A$5:$A$104,A71)</x:f>
        <x:v>1</x:v>
      </x:c>
      <x:c r="I71" s="35" t="n">
        <x:f>COUNTIF('Products'!$A$5:$A$44,C71)</x:f>
        <x:v>1</x:v>
      </x:c>
      <x:c r="J71" s="45" t="n">
        <x:f>IFERROR(D71*E71,0)</x:f>
        <x:v>18</x:v>
      </x:c>
      <x:c r="K71" s="27" t="str">
        <x:f>IF(OR(A71="",B71="",C71="",D71&lt;=0,G71=""),"CHECK","OK")</x:f>
        <x:v>OK</x:v>
      </x:c>
      <x:c r="L71" s="27" t="str">
        <x:f>IF(H71&gt;1,"DUPLICATE",IF(I71=0,"INVALID SKU",IF(K71="CHECK","INCOMPLETE","OK")))</x:f>
        <x:v>OK</x:v>
      </x:c>
    </x:row>
    <x:row r="72">
      <x:c r="A72" s="30" t="str">
        <x:v>ORD-0068</x:v>
      </x:c>
      <x:c r="B72" s="39" t="n">
        <x:v>46246</x:v>
      </x:c>
      <x:c r="C72" s="30" t="str">
        <x:v>SKU-030</x:v>
      </x:c>
      <x:c r="D72" s="34" t="n">
        <x:v>2</x:v>
      </x:c>
      <x:c r="E72" s="45" t="n">
        <x:f>IFERROR(INDEX('Products'!$M$5:$M$44,MATCH(C72,'Products'!$A$5:$A$44,0)),0)</x:f>
        <x:v>47.75</x:v>
      </x:c>
      <x:c r="F72" s="30" t="str">
        <x:v>Midlands</x:v>
      </x:c>
      <x:c r="G72" s="30" t="str">
        <x:v>Fulfilled</x:v>
      </x:c>
      <x:c r="H72" s="35" t="n">
        <x:f>COUNTIF($A$5:$A$104,A72)</x:f>
        <x:v>1</x:v>
      </x:c>
      <x:c r="I72" s="35" t="n">
        <x:f>COUNTIF('Products'!$A$5:$A$44,C72)</x:f>
        <x:v>1</x:v>
      </x:c>
      <x:c r="J72" s="45" t="n">
        <x:f>IFERROR(D72*E72,0)</x:f>
        <x:v>95.5</x:v>
      </x:c>
      <x:c r="K72" s="27" t="str">
        <x:f>IF(OR(A72="",B72="",C72="",D72&lt;=0,G72=""),"CHECK","OK")</x:f>
        <x:v>OK</x:v>
      </x:c>
      <x:c r="L72" s="27" t="str">
        <x:f>IF(H72&gt;1,"DUPLICATE",IF(I72=0,"INVALID SKU",IF(K72="CHECK","INCOMPLETE","OK")))</x:f>
        <x:v>OK</x:v>
      </x:c>
    </x:row>
    <x:row r="73">
      <x:c r="A73" s="30" t="str">
        <x:v>ORD-0069</x:v>
      </x:c>
      <x:c r="B73" s="39" t="n">
        <x:v>46247</x:v>
      </x:c>
      <x:c r="C73" s="30" t="str">
        <x:v>SKU-037</x:v>
      </x:c>
      <x:c r="D73" s="34" t="n">
        <x:v>3</x:v>
      </x:c>
      <x:c r="E73" s="45" t="n">
        <x:f>IFERROR(INDEX('Products'!$M$5:$M$44,MATCH(C73,'Products'!$A$5:$A$44,0)),0)</x:f>
        <x:v>35</x:v>
      </x:c>
      <x:c r="F73" s="30" t="str">
        <x:v>London</x:v>
      </x:c>
      <x:c r="G73" s="30" t="str">
        <x:v>Processing</x:v>
      </x:c>
      <x:c r="H73" s="35" t="n">
        <x:f>COUNTIF($A$5:$A$104,A73)</x:f>
        <x:v>1</x:v>
      </x:c>
      <x:c r="I73" s="35" t="n">
        <x:f>COUNTIF('Products'!$A$5:$A$44,C73)</x:f>
        <x:v>1</x:v>
      </x:c>
      <x:c r="J73" s="45" t="n">
        <x:f>IFERROR(D73*E73,0)</x:f>
        <x:v>105</x:v>
      </x:c>
      <x:c r="K73" s="27" t="str">
        <x:f>IF(OR(A73="",B73="",C73="",D73&lt;=0,G73=""),"CHECK","OK")</x:f>
        <x:v>OK</x:v>
      </x:c>
      <x:c r="L73" s="27" t="str">
        <x:f>IF(H73&gt;1,"DUPLICATE",IF(I73=0,"INVALID SKU",IF(K73="CHECK","INCOMPLETE","OK")))</x:f>
        <x:v>OK</x:v>
      </x:c>
    </x:row>
    <x:row r="74">
      <x:c r="A74" s="30" t="str">
        <x:v>ORD-0070</x:v>
      </x:c>
      <x:c r="B74" s="39" t="n">
        <x:v>46248</x:v>
      </x:c>
      <x:c r="C74" s="30" t="str">
        <x:v>SKU-004</x:v>
      </x:c>
      <x:c r="D74" s="34" t="n">
        <x:v>4</x:v>
      </x:c>
      <x:c r="E74" s="45" t="n">
        <x:f>IFERROR(INDEX('Products'!$M$5:$M$44,MATCH(C74,'Products'!$A$5:$A$44,0)),0)</x:f>
        <x:v>22.25</x:v>
      </x:c>
      <x:c r="F74" s="30" t="str">
        <x:v>Scotland</x:v>
      </x:c>
      <x:c r="G74" s="30" t="str">
        <x:v>Cancelled</x:v>
      </x:c>
      <x:c r="H74" s="35" t="n">
        <x:f>COUNTIF($A$5:$A$104,A74)</x:f>
        <x:v>1</x:v>
      </x:c>
      <x:c r="I74" s="35" t="n">
        <x:f>COUNTIF('Products'!$A$5:$A$44,C74)</x:f>
        <x:v>1</x:v>
      </x:c>
      <x:c r="J74" s="45" t="n">
        <x:f>IFERROR(D74*E74,0)</x:f>
        <x:v>89</x:v>
      </x:c>
      <x:c r="K74" s="27" t="str">
        <x:f>IF(OR(A74="",B74="",C74="",D74&lt;=0,G74=""),"CHECK","OK")</x:f>
        <x:v>OK</x:v>
      </x:c>
      <x:c r="L74" s="27" t="str">
        <x:f>IF(H74&gt;1,"DUPLICATE",IF(I74=0,"INVALID SKU",IF(K74="CHECK","INCOMPLETE","OK")))</x:f>
        <x:v>OK</x:v>
      </x:c>
    </x:row>
    <x:row r="75">
      <x:c r="A75" s="30" t="str">
        <x:v>ORD-0071</x:v>
      </x:c>
      <x:c r="B75" s="39" t="n">
        <x:v>46249</x:v>
      </x:c>
      <x:c r="C75" s="30" t="str">
        <x:v>SKU-011</x:v>
      </x:c>
      <x:c r="D75" s="34" t="n">
        <x:v>5</x:v>
      </x:c>
      <x:c r="E75" s="45" t="n">
        <x:f>IFERROR(INDEX('Products'!$M$5:$M$44,MATCH(C75,'Products'!$A$5:$A$44,0)),0)</x:f>
        <x:v>9.5</x:v>
      </x:c>
      <x:c r="F75" s="30" t="str">
        <x:v>North West</x:v>
      </x:c>
      <x:c r="G75" s="30" t="str">
        <x:v>Fulfilled</x:v>
      </x:c>
      <x:c r="H75" s="35" t="n">
        <x:f>COUNTIF($A$5:$A$104,A75)</x:f>
        <x:v>1</x:v>
      </x:c>
      <x:c r="I75" s="35" t="n">
        <x:f>COUNTIF('Products'!$A$5:$A$44,C75)</x:f>
        <x:v>1</x:v>
      </x:c>
      <x:c r="J75" s="45" t="n">
        <x:f>IFERROR(D75*E75,0)</x:f>
        <x:v>47.5</x:v>
      </x:c>
      <x:c r="K75" s="27" t="str">
        <x:f>IF(OR(A75="",B75="",C75="",D75&lt;=0,G75=""),"CHECK","OK")</x:f>
        <x:v>OK</x:v>
      </x:c>
      <x:c r="L75" s="27" t="str">
        <x:f>IF(H75&gt;1,"DUPLICATE",IF(I75=0,"INVALID SKU",IF(K75="CHECK","INCOMPLETE","OK")))</x:f>
        <x:v>OK</x:v>
      </x:c>
    </x:row>
    <x:row r="76">
      <x:c r="A76" s="30" t="str">
        <x:v>ORD-0072</x:v>
      </x:c>
      <x:c r="B76" s="39" t="n">
        <x:v>46250</x:v>
      </x:c>
      <x:c r="C76" s="30" t="str">
        <x:v>SKU-018</x:v>
      </x:c>
      <x:c r="D76" s="34" t="n">
        <x:v>6</x:v>
      </x:c>
      <x:c r="E76" s="45" t="n">
        <x:f>IFERROR(INDEX('Products'!$M$5:$M$44,MATCH(C76,'Products'!$A$5:$A$44,0)),0)</x:f>
        <x:v>39.25</x:v>
      </x:c>
      <x:c r="F76" s="30" t="str">
        <x:v>Yorkshire</x:v>
      </x:c>
      <x:c r="G76" s="30" t="str">
        <x:v>Fulfilled</x:v>
      </x:c>
      <x:c r="H76" s="35" t="n">
        <x:f>COUNTIF($A$5:$A$104,A76)</x:f>
        <x:v>1</x:v>
      </x:c>
      <x:c r="I76" s="35" t="n">
        <x:f>COUNTIF('Products'!$A$5:$A$44,C76)</x:f>
        <x:v>1</x:v>
      </x:c>
      <x:c r="J76" s="45" t="n">
        <x:f>IFERROR(D76*E76,0)</x:f>
        <x:v>235.5</x:v>
      </x:c>
      <x:c r="K76" s="27" t="str">
        <x:f>IF(OR(A76="",B76="",C76="",D76&lt;=0,G76=""),"CHECK","OK")</x:f>
        <x:v>OK</x:v>
      </x:c>
      <x:c r="L76" s="27" t="str">
        <x:f>IF(H76&gt;1,"DUPLICATE",IF(I76=0,"INVALID SKU",IF(K76="CHECK","INCOMPLETE","OK")))</x:f>
        <x:v>OK</x:v>
      </x:c>
    </x:row>
    <x:row r="77">
      <x:c r="A77" s="30" t="str">
        <x:v>ORD-0073</x:v>
      </x:c>
      <x:c r="B77" s="39" t="n">
        <x:v>46251</x:v>
      </x:c>
      <x:c r="C77" s="30" t="str">
        <x:v>SKU-025</x:v>
      </x:c>
      <x:c r="D77" s="34" t="n">
        <x:v>1</x:v>
      </x:c>
      <x:c r="E77" s="45" t="n">
        <x:f>IFERROR(INDEX('Products'!$M$5:$M$44,MATCH(C77,'Products'!$A$5:$A$44,0)),0)</x:f>
        <x:v>26.5</x:v>
      </x:c>
      <x:c r="F77" s="30" t="str">
        <x:v>Midlands</x:v>
      </x:c>
      <x:c r="G77" s="30" t="str">
        <x:v>Fulfilled</x:v>
      </x:c>
      <x:c r="H77" s="35" t="n">
        <x:f>COUNTIF($A$5:$A$104,A77)</x:f>
        <x:v>1</x:v>
      </x:c>
      <x:c r="I77" s="35" t="n">
        <x:f>COUNTIF('Products'!$A$5:$A$44,C77)</x:f>
        <x:v>1</x:v>
      </x:c>
      <x:c r="J77" s="45" t="n">
        <x:f>IFERROR(D77*E77,0)</x:f>
        <x:v>26.5</x:v>
      </x:c>
      <x:c r="K77" s="27" t="str">
        <x:f>IF(OR(A77="",B77="",C77="",D77&lt;=0,G77=""),"CHECK","OK")</x:f>
        <x:v>OK</x:v>
      </x:c>
      <x:c r="L77" s="27" t="str">
        <x:f>IF(H77&gt;1,"DUPLICATE",IF(I77=0,"INVALID SKU",IF(K77="CHECK","INCOMPLETE","OK")))</x:f>
        <x:v>OK</x:v>
      </x:c>
    </x:row>
    <x:row r="78">
      <x:c r="A78" s="30" t="str">
        <x:v>ORD-0074</x:v>
      </x:c>
      <x:c r="B78" s="39" t="n">
        <x:v>46252</x:v>
      </x:c>
      <x:c r="C78" s="30" t="str">
        <x:v>SKU-032</x:v>
      </x:c>
      <x:c r="D78" s="34" t="n">
        <x:v>2</x:v>
      </x:c>
      <x:c r="E78" s="45" t="n">
        <x:f>IFERROR(INDEX('Products'!$M$5:$M$44,MATCH(C78,'Products'!$A$5:$A$44,0)),0)</x:f>
        <x:v>13.75</x:v>
      </x:c>
      <x:c r="F78" s="30" t="str">
        <x:v>London</x:v>
      </x:c>
      <x:c r="G78" s="30" t="str">
        <x:v>Processing</x:v>
      </x:c>
      <x:c r="H78" s="35" t="n">
        <x:f>COUNTIF($A$5:$A$104,A78)</x:f>
        <x:v>1</x:v>
      </x:c>
      <x:c r="I78" s="35" t="n">
        <x:f>COUNTIF('Products'!$A$5:$A$44,C78)</x:f>
        <x:v>1</x:v>
      </x:c>
      <x:c r="J78" s="45" t="n">
        <x:f>IFERROR(D78*E78,0)</x:f>
        <x:v>27.5</x:v>
      </x:c>
      <x:c r="K78" s="27" t="str">
        <x:f>IF(OR(A78="",B78="",C78="",D78&lt;=0,G78=""),"CHECK","OK")</x:f>
        <x:v>OK</x:v>
      </x:c>
      <x:c r="L78" s="27" t="str">
        <x:f>IF(H78&gt;1,"DUPLICATE",IF(I78=0,"INVALID SKU",IF(K78="CHECK","INCOMPLETE","OK")))</x:f>
        <x:v>OK</x:v>
      </x:c>
    </x:row>
    <x:row r="79">
      <x:c r="A79" s="30" t="str">
        <x:v>ORD-0075</x:v>
      </x:c>
      <x:c r="B79" s="39" t="n">
        <x:v>46253</x:v>
      </x:c>
      <x:c r="C79" s="30" t="str">
        <x:v>SKU-039</x:v>
      </x:c>
      <x:c r="D79" s="34" t="n">
        <x:v>3</x:v>
      </x:c>
      <x:c r="E79" s="45" t="n">
        <x:f>IFERROR(INDEX('Products'!$M$5:$M$44,MATCH(C79,'Products'!$A$5:$A$44,0)),0)</x:f>
        <x:v>43.5</x:v>
      </x:c>
      <x:c r="F79" s="30" t="str">
        <x:v>Scotland</x:v>
      </x:c>
      <x:c r="G79" s="30" t="str">
        <x:v>Cancelled</x:v>
      </x:c>
      <x:c r="H79" s="35" t="n">
        <x:f>COUNTIF($A$5:$A$104,A79)</x:f>
        <x:v>1</x:v>
      </x:c>
      <x:c r="I79" s="35" t="n">
        <x:f>COUNTIF('Products'!$A$5:$A$44,C79)</x:f>
        <x:v>1</x:v>
      </x:c>
      <x:c r="J79" s="45" t="n">
        <x:f>IFERROR(D79*E79,0)</x:f>
        <x:v>130.5</x:v>
      </x:c>
      <x:c r="K79" s="27" t="str">
        <x:f>IF(OR(A79="",B79="",C79="",D79&lt;=0,G79=""),"CHECK","OK")</x:f>
        <x:v>OK</x:v>
      </x:c>
      <x:c r="L79" s="27" t="str">
        <x:f>IF(H79&gt;1,"DUPLICATE",IF(I79=0,"INVALID SKU",IF(K79="CHECK","INCOMPLETE","OK")))</x:f>
        <x:v>OK</x:v>
      </x:c>
    </x:row>
    <x:row r="80">
      <x:c r="A80" s="30" t="str">
        <x:v>ORD-0076</x:v>
      </x:c>
      <x:c r="B80" s="39" t="n">
        <x:v>46254</x:v>
      </x:c>
      <x:c r="C80" s="30" t="str">
        <x:v>SKU-006</x:v>
      </x:c>
      <x:c r="D80" s="34" t="n">
        <x:v>4</x:v>
      </x:c>
      <x:c r="E80" s="45" t="n">
        <x:f>IFERROR(INDEX('Products'!$M$5:$M$44,MATCH(C80,'Products'!$A$5:$A$44,0)),0)</x:f>
        <x:v>30.75</x:v>
      </x:c>
      <x:c r="F80" s="30" t="str">
        <x:v>North West</x:v>
      </x:c>
      <x:c r="G80" s="30" t="str">
        <x:v>Fulfilled</x:v>
      </x:c>
      <x:c r="H80" s="35" t="n">
        <x:f>COUNTIF($A$5:$A$104,A80)</x:f>
        <x:v>1</x:v>
      </x:c>
      <x:c r="I80" s="35" t="n">
        <x:f>COUNTIF('Products'!$A$5:$A$44,C80)</x:f>
        <x:v>1</x:v>
      </x:c>
      <x:c r="J80" s="45" t="n">
        <x:f>IFERROR(D80*E80,0)</x:f>
        <x:v>123</x:v>
      </x:c>
      <x:c r="K80" s="27" t="str">
        <x:f>IF(OR(A80="",B80="",C80="",D80&lt;=0,G80=""),"CHECK","OK")</x:f>
        <x:v>OK</x:v>
      </x:c>
      <x:c r="L80" s="27" t="str">
        <x:f>IF(H80&gt;1,"DUPLICATE",IF(I80=0,"INVALID SKU",IF(K80="CHECK","INCOMPLETE","OK")))</x:f>
        <x:v>OK</x:v>
      </x:c>
    </x:row>
    <x:row r="81">
      <x:c r="A81" s="30" t="str">
        <x:v>ORD-0077</x:v>
      </x:c>
      <x:c r="B81" s="39" t="n">
        <x:v>46255</x:v>
      </x:c>
      <x:c r="C81" s="30" t="str">
        <x:v>SKU-013</x:v>
      </x:c>
      <x:c r="D81" s="34" t="n">
        <x:v>5</x:v>
      </x:c>
      <x:c r="E81" s="45" t="n">
        <x:f>IFERROR(INDEX('Products'!$M$5:$M$44,MATCH(C81,'Products'!$A$5:$A$44,0)),0)</x:f>
        <x:v>18</x:v>
      </x:c>
      <x:c r="F81" s="30" t="str">
        <x:v>Yorkshire</x:v>
      </x:c>
      <x:c r="G81" s="30" t="str">
        <x:v>Fulfilled</x:v>
      </x:c>
      <x:c r="H81" s="35" t="n">
        <x:f>COUNTIF($A$5:$A$104,A81)</x:f>
        <x:v>1</x:v>
      </x:c>
      <x:c r="I81" s="35" t="n">
        <x:f>COUNTIF('Products'!$A$5:$A$44,C81)</x:f>
        <x:v>1</x:v>
      </x:c>
      <x:c r="J81" s="45" t="n">
        <x:f>IFERROR(D81*E81,0)</x:f>
        <x:v>90</x:v>
      </x:c>
      <x:c r="K81" s="27" t="str">
        <x:f>IF(OR(A81="",B81="",C81="",D81&lt;=0,G81=""),"CHECK","OK")</x:f>
        <x:v>OK</x:v>
      </x:c>
      <x:c r="L81" s="27" t="str">
        <x:f>IF(H81&gt;1,"DUPLICATE",IF(I81=0,"INVALID SKU",IF(K81="CHECK","INCOMPLETE","OK")))</x:f>
        <x:v>OK</x:v>
      </x:c>
    </x:row>
    <x:row r="82">
      <x:c r="A82" s="30" t="str">
        <x:v>ORD-0078</x:v>
      </x:c>
      <x:c r="B82" s="39" t="n">
        <x:v>46256</x:v>
      </x:c>
      <x:c r="C82" s="30" t="str">
        <x:v>SKU-020</x:v>
      </x:c>
      <x:c r="D82" s="34" t="n">
        <x:v>6</x:v>
      </x:c>
      <x:c r="E82" s="45" t="n">
        <x:f>IFERROR(INDEX('Products'!$M$5:$M$44,MATCH(C82,'Products'!$A$5:$A$44,0)),0)</x:f>
        <x:v>47.75</x:v>
      </x:c>
      <x:c r="F82" s="30" t="str">
        <x:v>Midlands</x:v>
      </x:c>
      <x:c r="G82" s="30" t="str">
        <x:v>Fulfilled</x:v>
      </x:c>
      <x:c r="H82" s="35" t="n">
        <x:f>COUNTIF($A$5:$A$104,A82)</x:f>
        <x:v>1</x:v>
      </x:c>
      <x:c r="I82" s="35" t="n">
        <x:f>COUNTIF('Products'!$A$5:$A$44,C82)</x:f>
        <x:v>1</x:v>
      </x:c>
      <x:c r="J82" s="45" t="n">
        <x:f>IFERROR(D82*E82,0)</x:f>
        <x:v>286.5</x:v>
      </x:c>
      <x:c r="K82" s="27" t="str">
        <x:f>IF(OR(A82="",B82="",C82="",D82&lt;=0,G82=""),"CHECK","OK")</x:f>
        <x:v>OK</x:v>
      </x:c>
      <x:c r="L82" s="27" t="str">
        <x:f>IF(H82&gt;1,"DUPLICATE",IF(I82=0,"INVALID SKU",IF(K82="CHECK","INCOMPLETE","OK")))</x:f>
        <x:v>OK</x:v>
      </x:c>
    </x:row>
    <x:row r="83">
      <x:c r="A83" s="30" t="str">
        <x:v>ORD-0079</x:v>
      </x:c>
      <x:c r="B83" s="39" t="n">
        <x:v>46257</x:v>
      </x:c>
      <x:c r="C83" s="30" t="str">
        <x:v>SKU-027</x:v>
      </x:c>
      <x:c r="D83" s="34" t="n">
        <x:v>1</x:v>
      </x:c>
      <x:c r="E83" s="45" t="n">
        <x:f>IFERROR(INDEX('Products'!$M$5:$M$44,MATCH(C83,'Products'!$A$5:$A$44,0)),0)</x:f>
        <x:v>35</x:v>
      </x:c>
      <x:c r="F83" s="30" t="str">
        <x:v>London</x:v>
      </x:c>
      <x:c r="G83" s="30" t="str">
        <x:v>Processing</x:v>
      </x:c>
      <x:c r="H83" s="35" t="n">
        <x:f>COUNTIF($A$5:$A$104,A83)</x:f>
        <x:v>1</x:v>
      </x:c>
      <x:c r="I83" s="35" t="n">
        <x:f>COUNTIF('Products'!$A$5:$A$44,C83)</x:f>
        <x:v>1</x:v>
      </x:c>
      <x:c r="J83" s="45" t="n">
        <x:f>IFERROR(D83*E83,0)</x:f>
        <x:v>35</x:v>
      </x:c>
      <x:c r="K83" s="27" t="str">
        <x:f>IF(OR(A83="",B83="",C83="",D83&lt;=0,G83=""),"CHECK","OK")</x:f>
        <x:v>OK</x:v>
      </x:c>
      <x:c r="L83" s="27" t="str">
        <x:f>IF(H83&gt;1,"DUPLICATE",IF(I83=0,"INVALID SKU",IF(K83="CHECK","INCOMPLETE","OK")))</x:f>
        <x:v>OK</x:v>
      </x:c>
    </x:row>
    <x:row r="84">
      <x:c r="A84" s="30" t="str">
        <x:v>ORD-0080</x:v>
      </x:c>
      <x:c r="B84" s="39" t="n">
        <x:v>46258</x:v>
      </x:c>
      <x:c r="C84" s="30" t="str">
        <x:v>SKU-034</x:v>
      </x:c>
      <x:c r="D84" s="34" t="n">
        <x:v>2</x:v>
      </x:c>
      <x:c r="E84" s="45" t="n">
        <x:f>IFERROR(INDEX('Products'!$M$5:$M$44,MATCH(C84,'Products'!$A$5:$A$44,0)),0)</x:f>
        <x:v>22.25</x:v>
      </x:c>
      <x:c r="F84" s="30" t="str">
        <x:v>Scotland</x:v>
      </x:c>
      <x:c r="G84" s="30" t="str">
        <x:v>Cancelled</x:v>
      </x:c>
      <x:c r="H84" s="35" t="n">
        <x:f>COUNTIF($A$5:$A$104,A84)</x:f>
        <x:v>1</x:v>
      </x:c>
      <x:c r="I84" s="35" t="n">
        <x:f>COUNTIF('Products'!$A$5:$A$44,C84)</x:f>
        <x:v>1</x:v>
      </x:c>
      <x:c r="J84" s="45" t="n">
        <x:f>IFERROR(D84*E84,0)</x:f>
        <x:v>44.5</x:v>
      </x:c>
      <x:c r="K84" s="27" t="str">
        <x:f>IF(OR(A84="",B84="",C84="",D84&lt;=0,G84=""),"CHECK","OK")</x:f>
        <x:v>OK</x:v>
      </x:c>
      <x:c r="L84" s="27" t="str">
        <x:f>IF(H84&gt;1,"DUPLICATE",IF(I84=0,"INVALID SKU",IF(K84="CHECK","INCOMPLETE","OK")))</x:f>
        <x:v>OK</x:v>
      </x:c>
    </x:row>
    <x:row r="85">
      <x:c r="A85" s="30" t="str">
        <x:v>ORD-0081</x:v>
      </x:c>
      <x:c r="B85" s="39" t="n">
        <x:v>46259</x:v>
      </x:c>
      <x:c r="C85" s="30" t="str">
        <x:v>SKU-001</x:v>
      </x:c>
      <x:c r="D85" s="34" t="n">
        <x:v>3</x:v>
      </x:c>
      <x:c r="E85" s="45" t="n">
        <x:f>IFERROR(INDEX('Products'!$M$5:$M$44,MATCH(C85,'Products'!$A$5:$A$44,0)),0)</x:f>
        <x:v>9.5</x:v>
      </x:c>
      <x:c r="F85" s="30" t="str">
        <x:v>North West</x:v>
      </x:c>
      <x:c r="G85" s="30" t="str">
        <x:v>Fulfilled</x:v>
      </x:c>
      <x:c r="H85" s="35" t="n">
        <x:f>COUNTIF($A$5:$A$104,A85)</x:f>
        <x:v>1</x:v>
      </x:c>
      <x:c r="I85" s="35" t="n">
        <x:f>COUNTIF('Products'!$A$5:$A$44,C85)</x:f>
        <x:v>1</x:v>
      </x:c>
      <x:c r="J85" s="45" t="n">
        <x:f>IFERROR(D85*E85,0)</x:f>
        <x:v>28.5</x:v>
      </x:c>
      <x:c r="K85" s="27" t="str">
        <x:f>IF(OR(A85="",B85="",C85="",D85&lt;=0,G85=""),"CHECK","OK")</x:f>
        <x:v>OK</x:v>
      </x:c>
      <x:c r="L85" s="27" t="str">
        <x:f>IF(H85&gt;1,"DUPLICATE",IF(I85=0,"INVALID SKU",IF(K85="CHECK","INCOMPLETE","OK")))</x:f>
        <x:v>OK</x:v>
      </x:c>
    </x:row>
    <x:row r="86">
      <x:c r="A86" s="30" t="str">
        <x:v>ORD-0082</x:v>
      </x:c>
      <x:c r="B86" s="39" t="n">
        <x:v>46260</x:v>
      </x:c>
      <x:c r="C86" s="30" t="str">
        <x:v>SKU-008</x:v>
      </x:c>
      <x:c r="D86" s="34" t="n">
        <x:v>4</x:v>
      </x:c>
      <x:c r="E86" s="45" t="n">
        <x:f>IFERROR(INDEX('Products'!$M$5:$M$44,MATCH(C86,'Products'!$A$5:$A$44,0)),0)</x:f>
        <x:v>39.25</x:v>
      </x:c>
      <x:c r="F86" s="30" t="str">
        <x:v>Yorkshire</x:v>
      </x:c>
      <x:c r="G86" s="30" t="str">
        <x:v>Fulfilled</x:v>
      </x:c>
      <x:c r="H86" s="35" t="n">
        <x:f>COUNTIF($A$5:$A$104,A86)</x:f>
        <x:v>1</x:v>
      </x:c>
      <x:c r="I86" s="35" t="n">
        <x:f>COUNTIF('Products'!$A$5:$A$44,C86)</x:f>
        <x:v>1</x:v>
      </x:c>
      <x:c r="J86" s="45" t="n">
        <x:f>IFERROR(D86*E86,0)</x:f>
        <x:v>157</x:v>
      </x:c>
      <x:c r="K86" s="27" t="str">
        <x:f>IF(OR(A86="",B86="",C86="",D86&lt;=0,G86=""),"CHECK","OK")</x:f>
        <x:v>OK</x:v>
      </x:c>
      <x:c r="L86" s="27" t="str">
        <x:f>IF(H86&gt;1,"DUPLICATE",IF(I86=0,"INVALID SKU",IF(K86="CHECK","INCOMPLETE","OK")))</x:f>
        <x:v>OK</x:v>
      </x:c>
    </x:row>
    <x:row r="87">
      <x:c r="A87" s="30" t="str">
        <x:v>ORD-0083</x:v>
      </x:c>
      <x:c r="B87" s="39" t="n">
        <x:v>46261</x:v>
      </x:c>
      <x:c r="C87" s="30" t="str">
        <x:v>SKU-015</x:v>
      </x:c>
      <x:c r="D87" s="34" t="n">
        <x:v>5</x:v>
      </x:c>
      <x:c r="E87" s="45" t="n">
        <x:f>IFERROR(INDEX('Products'!$M$5:$M$44,MATCH(C87,'Products'!$A$5:$A$44,0)),0)</x:f>
        <x:v>26.5</x:v>
      </x:c>
      <x:c r="F87" s="30" t="str">
        <x:v>Midlands</x:v>
      </x:c>
      <x:c r="G87" s="30" t="str">
        <x:v>Fulfilled</x:v>
      </x:c>
      <x:c r="H87" s="35" t="n">
        <x:f>COUNTIF($A$5:$A$104,A87)</x:f>
        <x:v>1</x:v>
      </x:c>
      <x:c r="I87" s="35" t="n">
        <x:f>COUNTIF('Products'!$A$5:$A$44,C87)</x:f>
        <x:v>1</x:v>
      </x:c>
      <x:c r="J87" s="45" t="n">
        <x:f>IFERROR(D87*E87,0)</x:f>
        <x:v>132.5</x:v>
      </x:c>
      <x:c r="K87" s="27" t="str">
        <x:f>IF(OR(A87="",B87="",C87="",D87&lt;=0,G87=""),"CHECK","OK")</x:f>
        <x:v>OK</x:v>
      </x:c>
      <x:c r="L87" s="27" t="str">
        <x:f>IF(H87&gt;1,"DUPLICATE",IF(I87=0,"INVALID SKU",IF(K87="CHECK","INCOMPLETE","OK")))</x:f>
        <x:v>OK</x:v>
      </x:c>
    </x:row>
    <x:row r="88">
      <x:c r="A88" s="30" t="str">
        <x:v>ORD-0084</x:v>
      </x:c>
      <x:c r="B88" s="39" t="n">
        <x:v>46262</x:v>
      </x:c>
      <x:c r="C88" s="30" t="str">
        <x:v>SKU-022</x:v>
      </x:c>
      <x:c r="D88" s="34" t="n">
        <x:v>6</x:v>
      </x:c>
      <x:c r="E88" s="45" t="n">
        <x:f>IFERROR(INDEX('Products'!$M$5:$M$44,MATCH(C88,'Products'!$A$5:$A$44,0)),0)</x:f>
        <x:v>13.75</x:v>
      </x:c>
      <x:c r="F88" s="30" t="str">
        <x:v>London</x:v>
      </x:c>
      <x:c r="G88" s="30" t="str">
        <x:v>Processing</x:v>
      </x:c>
      <x:c r="H88" s="35" t="n">
        <x:f>COUNTIF($A$5:$A$104,A88)</x:f>
        <x:v>1</x:v>
      </x:c>
      <x:c r="I88" s="35" t="n">
        <x:f>COUNTIF('Products'!$A$5:$A$44,C88)</x:f>
        <x:v>1</x:v>
      </x:c>
      <x:c r="J88" s="45" t="n">
        <x:f>IFERROR(D88*E88,0)</x:f>
        <x:v>82.5</x:v>
      </x:c>
      <x:c r="K88" s="27" t="str">
        <x:f>IF(OR(A88="",B88="",C88="",D88&lt;=0,G88=""),"CHECK","OK")</x:f>
        <x:v>OK</x:v>
      </x:c>
      <x:c r="L88" s="27" t="str">
        <x:f>IF(H88&gt;1,"DUPLICATE",IF(I88=0,"INVALID SKU",IF(K88="CHECK","INCOMPLETE","OK")))</x:f>
        <x:v>OK</x:v>
      </x:c>
    </x:row>
    <x:row r="89">
      <x:c r="A89" s="30" t="str">
        <x:v>ORD-0085</x:v>
      </x:c>
      <x:c r="B89" s="39" t="n">
        <x:v>46235</x:v>
      </x:c>
      <x:c r="C89" s="30" t="str">
        <x:v>SKU-029</x:v>
      </x:c>
      <x:c r="D89" s="34" t="n">
        <x:v>1</x:v>
      </x:c>
      <x:c r="E89" s="45" t="n">
        <x:f>IFERROR(INDEX('Products'!$M$5:$M$44,MATCH(C89,'Products'!$A$5:$A$44,0)),0)</x:f>
        <x:v>43.5</x:v>
      </x:c>
      <x:c r="F89" s="30" t="str">
        <x:v>Scotland</x:v>
      </x:c>
      <x:c r="G89" s="30" t="str">
        <x:v>Cancelled</x:v>
      </x:c>
      <x:c r="H89" s="35" t="n">
        <x:f>COUNTIF($A$5:$A$104,A89)</x:f>
        <x:v>1</x:v>
      </x:c>
      <x:c r="I89" s="35" t="n">
        <x:f>COUNTIF('Products'!$A$5:$A$44,C89)</x:f>
        <x:v>1</x:v>
      </x:c>
      <x:c r="J89" s="45" t="n">
        <x:f>IFERROR(D89*E89,0)</x:f>
        <x:v>43.5</x:v>
      </x:c>
      <x:c r="K89" s="27" t="str">
        <x:f>IF(OR(A89="",B89="",C89="",D89&lt;=0,G89=""),"CHECK","OK")</x:f>
        <x:v>OK</x:v>
      </x:c>
      <x:c r="L89" s="27" t="str">
        <x:f>IF(H89&gt;1,"DUPLICATE",IF(I89=0,"INVALID SKU",IF(K89="CHECK","INCOMPLETE","OK")))</x:f>
        <x:v>OK</x:v>
      </x:c>
    </x:row>
    <x:row r="90">
      <x:c r="A90" s="30" t="str">
        <x:v>ORD-0086</x:v>
      </x:c>
      <x:c r="B90" s="39" t="n">
        <x:v>46236</x:v>
      </x:c>
      <x:c r="C90" s="30" t="str">
        <x:v>SKU-036</x:v>
      </x:c>
      <x:c r="D90" s="34" t="n">
        <x:v>2</x:v>
      </x:c>
      <x:c r="E90" s="45" t="n">
        <x:f>IFERROR(INDEX('Products'!$M$5:$M$44,MATCH(C90,'Products'!$A$5:$A$44,0)),0)</x:f>
        <x:v>30.75</x:v>
      </x:c>
      <x:c r="F90" s="30" t="str">
        <x:v>North West</x:v>
      </x:c>
      <x:c r="G90" s="30" t="str">
        <x:v>Fulfilled</x:v>
      </x:c>
      <x:c r="H90" s="35" t="n">
        <x:f>COUNTIF($A$5:$A$104,A90)</x:f>
        <x:v>1</x:v>
      </x:c>
      <x:c r="I90" s="35" t="n">
        <x:f>COUNTIF('Products'!$A$5:$A$44,C90)</x:f>
        <x:v>1</x:v>
      </x:c>
      <x:c r="J90" s="45" t="n">
        <x:f>IFERROR(D90*E90,0)</x:f>
        <x:v>61.5</x:v>
      </x:c>
      <x:c r="K90" s="27" t="str">
        <x:f>IF(OR(A90="",B90="",C90="",D90&lt;=0,G90=""),"CHECK","OK")</x:f>
        <x:v>OK</x:v>
      </x:c>
      <x:c r="L90" s="27" t="str">
        <x:f>IF(H90&gt;1,"DUPLICATE",IF(I90=0,"INVALID SKU",IF(K90="CHECK","INCOMPLETE","OK")))</x:f>
        <x:v>OK</x:v>
      </x:c>
    </x:row>
    <x:row r="91">
      <x:c r="A91" s="30" t="str">
        <x:v>ORD-0087</x:v>
      </x:c>
      <x:c r="B91" s="39" t="n">
        <x:v>46237</x:v>
      </x:c>
      <x:c r="C91" s="30" t="str">
        <x:v>SKU-003</x:v>
      </x:c>
      <x:c r="D91" s="34" t="n">
        <x:v>3</x:v>
      </x:c>
      <x:c r="E91" s="45" t="n">
        <x:f>IFERROR(INDEX('Products'!$M$5:$M$44,MATCH(C91,'Products'!$A$5:$A$44,0)),0)</x:f>
        <x:v>18</x:v>
      </x:c>
      <x:c r="F91" s="30" t="str">
        <x:v>Yorkshire</x:v>
      </x:c>
      <x:c r="G91" s="30" t="str">
        <x:v>Fulfilled</x:v>
      </x:c>
      <x:c r="H91" s="35" t="n">
        <x:f>COUNTIF($A$5:$A$104,A91)</x:f>
        <x:v>1</x:v>
      </x:c>
      <x:c r="I91" s="35" t="n">
        <x:f>COUNTIF('Products'!$A$5:$A$44,C91)</x:f>
        <x:v>1</x:v>
      </x:c>
      <x:c r="J91" s="45" t="n">
        <x:f>IFERROR(D91*E91,0)</x:f>
        <x:v>54</x:v>
      </x:c>
      <x:c r="K91" s="27" t="str">
        <x:f>IF(OR(A91="",B91="",C91="",D91&lt;=0,G91=""),"CHECK","OK")</x:f>
        <x:v>OK</x:v>
      </x:c>
      <x:c r="L91" s="27" t="str">
        <x:f>IF(H91&gt;1,"DUPLICATE",IF(I91=0,"INVALID SKU",IF(K91="CHECK","INCOMPLETE","OK")))</x:f>
        <x:v>OK</x:v>
      </x:c>
    </x:row>
    <x:row r="92">
      <x:c r="A92" s="30" t="str">
        <x:v>ORD-0088</x:v>
      </x:c>
      <x:c r="B92" s="39" t="n">
        <x:v>46238</x:v>
      </x:c>
      <x:c r="C92" s="30" t="str">
        <x:v>SKU-010</x:v>
      </x:c>
      <x:c r="D92" s="34" t="n">
        <x:v>4</x:v>
      </x:c>
      <x:c r="E92" s="45" t="n">
        <x:f>IFERROR(INDEX('Products'!$M$5:$M$44,MATCH(C92,'Products'!$A$5:$A$44,0)),0)</x:f>
        <x:v>47.75</x:v>
      </x:c>
      <x:c r="F92" s="30" t="str">
        <x:v>Midlands</x:v>
      </x:c>
      <x:c r="G92" s="30" t="str">
        <x:v>Fulfilled</x:v>
      </x:c>
      <x:c r="H92" s="35" t="n">
        <x:f>COUNTIF($A$5:$A$104,A92)</x:f>
        <x:v>1</x:v>
      </x:c>
      <x:c r="I92" s="35" t="n">
        <x:f>COUNTIF('Products'!$A$5:$A$44,C92)</x:f>
        <x:v>1</x:v>
      </x:c>
      <x:c r="J92" s="45" t="n">
        <x:f>IFERROR(D92*E92,0)</x:f>
        <x:v>191</x:v>
      </x:c>
      <x:c r="K92" s="27" t="str">
        <x:f>IF(OR(A92="",B92="",C92="",D92&lt;=0,G92=""),"CHECK","OK")</x:f>
        <x:v>OK</x:v>
      </x:c>
      <x:c r="L92" s="27" t="str">
        <x:f>IF(H92&gt;1,"DUPLICATE",IF(I92=0,"INVALID SKU",IF(K92="CHECK","INCOMPLETE","OK")))</x:f>
        <x:v>OK</x:v>
      </x:c>
    </x:row>
    <x:row r="93">
      <x:c r="A93" s="30" t="str">
        <x:v>ORD-0089</x:v>
      </x:c>
      <x:c r="B93" s="39" t="n">
        <x:v>46239</x:v>
      </x:c>
      <x:c r="C93" s="30" t="str">
        <x:v>SKU-017</x:v>
      </x:c>
      <x:c r="D93" s="34" t="n">
        <x:v>5</x:v>
      </x:c>
      <x:c r="E93" s="45" t="n">
        <x:f>IFERROR(INDEX('Products'!$M$5:$M$44,MATCH(C93,'Products'!$A$5:$A$44,0)),0)</x:f>
        <x:v>35</x:v>
      </x:c>
      <x:c r="F93" s="30" t="str">
        <x:v>London</x:v>
      </x:c>
      <x:c r="G93" s="30" t="str">
        <x:v>Processing</x:v>
      </x:c>
      <x:c r="H93" s="35" t="n">
        <x:f>COUNTIF($A$5:$A$104,A93)</x:f>
        <x:v>1</x:v>
      </x:c>
      <x:c r="I93" s="35" t="n">
        <x:f>COUNTIF('Products'!$A$5:$A$44,C93)</x:f>
        <x:v>1</x:v>
      </x:c>
      <x:c r="J93" s="45" t="n">
        <x:f>IFERROR(D93*E93,0)</x:f>
        <x:v>175</x:v>
      </x:c>
      <x:c r="K93" s="27" t="str">
        <x:f>IF(OR(A93="",B93="",C93="",D93&lt;=0,G93=""),"CHECK","OK")</x:f>
        <x:v>OK</x:v>
      </x:c>
      <x:c r="L93" s="27" t="str">
        <x:f>IF(H93&gt;1,"DUPLICATE",IF(I93=0,"INVALID SKU",IF(K93="CHECK","INCOMPLETE","OK")))</x:f>
        <x:v>OK</x:v>
      </x:c>
    </x:row>
    <x:row r="94">
      <x:c r="A94" s="30" t="str">
        <x:v>ORD-0090</x:v>
      </x:c>
      <x:c r="B94" s="39" t="n">
        <x:v>46240</x:v>
      </x:c>
      <x:c r="C94" s="30" t="str">
        <x:v>SKU-024</x:v>
      </x:c>
      <x:c r="D94" s="34" t="n">
        <x:v>6</x:v>
      </x:c>
      <x:c r="E94" s="45" t="n">
        <x:f>IFERROR(INDEX('Products'!$M$5:$M$44,MATCH(C94,'Products'!$A$5:$A$44,0)),0)</x:f>
        <x:v>22.25</x:v>
      </x:c>
      <x:c r="F94" s="30" t="str">
        <x:v>Scotland</x:v>
      </x:c>
      <x:c r="G94" s="30" t="str">
        <x:v>Cancelled</x:v>
      </x:c>
      <x:c r="H94" s="35" t="n">
        <x:f>COUNTIF($A$5:$A$104,A94)</x:f>
        <x:v>1</x:v>
      </x:c>
      <x:c r="I94" s="35" t="n">
        <x:f>COUNTIF('Products'!$A$5:$A$44,C94)</x:f>
        <x:v>1</x:v>
      </x:c>
      <x:c r="J94" s="45" t="n">
        <x:f>IFERROR(D94*E94,0)</x:f>
        <x:v>133.5</x:v>
      </x:c>
      <x:c r="K94" s="27" t="str">
        <x:f>IF(OR(A94="",B94="",C94="",D94&lt;=0,G94=""),"CHECK","OK")</x:f>
        <x:v>OK</x:v>
      </x:c>
      <x:c r="L94" s="27" t="str">
        <x:f>IF(H94&gt;1,"DUPLICATE",IF(I94=0,"INVALID SKU",IF(K94="CHECK","INCOMPLETE","OK")))</x:f>
        <x:v>OK</x:v>
      </x:c>
    </x:row>
    <x:row r="95">
      <x:c r="A95" s="30" t="str">
        <x:v>ORD-0091</x:v>
      </x:c>
      <x:c r="B95" s="39" t="n">
        <x:v>46241</x:v>
      </x:c>
      <x:c r="C95" s="30" t="str">
        <x:v>SKU-031</x:v>
      </x:c>
      <x:c r="D95" s="34" t="n">
        <x:v>1</x:v>
      </x:c>
      <x:c r="E95" s="45" t="n">
        <x:f>IFERROR(INDEX('Products'!$M$5:$M$44,MATCH(C95,'Products'!$A$5:$A$44,0)),0)</x:f>
        <x:v>9.5</x:v>
      </x:c>
      <x:c r="F95" s="30" t="str">
        <x:v>North West</x:v>
      </x:c>
      <x:c r="G95" s="30" t="str">
        <x:v>Fulfilled</x:v>
      </x:c>
      <x:c r="H95" s="35" t="n">
        <x:f>COUNTIF($A$5:$A$104,A95)</x:f>
        <x:v>1</x:v>
      </x:c>
      <x:c r="I95" s="35" t="n">
        <x:f>COUNTIF('Products'!$A$5:$A$44,C95)</x:f>
        <x:v>1</x:v>
      </x:c>
      <x:c r="J95" s="45" t="n">
        <x:f>IFERROR(D95*E95,0)</x:f>
        <x:v>9.5</x:v>
      </x:c>
      <x:c r="K95" s="27" t="str">
        <x:f>IF(OR(A95="",B95="",C95="",D95&lt;=0,G95=""),"CHECK","OK")</x:f>
        <x:v>OK</x:v>
      </x:c>
      <x:c r="L95" s="27" t="str">
        <x:f>IF(H95&gt;1,"DUPLICATE",IF(I95=0,"INVALID SKU",IF(K95="CHECK","INCOMPLETE","OK")))</x:f>
        <x:v>OK</x:v>
      </x:c>
    </x:row>
    <x:row r="96">
      <x:c r="A96" s="30" t="str">
        <x:v>ORD-0092</x:v>
      </x:c>
      <x:c r="B96" s="39" t="n">
        <x:v>46242</x:v>
      </x:c>
      <x:c r="C96" s="30" t="str">
        <x:v>SKU-038</x:v>
      </x:c>
      <x:c r="D96" s="34" t="n">
        <x:v>2</x:v>
      </x:c>
      <x:c r="E96" s="45" t="n">
        <x:f>IFERROR(INDEX('Products'!$M$5:$M$44,MATCH(C96,'Products'!$A$5:$A$44,0)),0)</x:f>
        <x:v>39.25</x:v>
      </x:c>
      <x:c r="F96" s="30" t="str">
        <x:v>Yorkshire</x:v>
      </x:c>
      <x:c r="G96" s="30" t="str">
        <x:v>Fulfilled</x:v>
      </x:c>
      <x:c r="H96" s="35" t="n">
        <x:f>COUNTIF($A$5:$A$104,A96)</x:f>
        <x:v>1</x:v>
      </x:c>
      <x:c r="I96" s="35" t="n">
        <x:f>COUNTIF('Products'!$A$5:$A$44,C96)</x:f>
        <x:v>1</x:v>
      </x:c>
      <x:c r="J96" s="45" t="n">
        <x:f>IFERROR(D96*E96,0)</x:f>
        <x:v>78.5</x:v>
      </x:c>
      <x:c r="K96" s="27" t="str">
        <x:f>IF(OR(A96="",B96="",C96="",D96&lt;=0,G96=""),"CHECK","OK")</x:f>
        <x:v>OK</x:v>
      </x:c>
      <x:c r="L96" s="27" t="str">
        <x:f>IF(H96&gt;1,"DUPLICATE",IF(I96=0,"INVALID SKU",IF(K96="CHECK","INCOMPLETE","OK")))</x:f>
        <x:v>OK</x:v>
      </x:c>
    </x:row>
    <x:row r="97">
      <x:c r="A97" s="30" t="str">
        <x:v>ORD-0093</x:v>
      </x:c>
      <x:c r="B97" s="39" t="n">
        <x:v>46243</x:v>
      </x:c>
      <x:c r="C97" s="30" t="str">
        <x:v>SKU-005</x:v>
      </x:c>
      <x:c r="D97" s="34" t="n">
        <x:v>3</x:v>
      </x:c>
      <x:c r="E97" s="45" t="n">
        <x:f>IFERROR(INDEX('Products'!$M$5:$M$44,MATCH(C97,'Products'!$A$5:$A$44,0)),0)</x:f>
        <x:v>26.5</x:v>
      </x:c>
      <x:c r="F97" s="30" t="str">
        <x:v>Midlands</x:v>
      </x:c>
      <x:c r="G97" s="30" t="str">
        <x:v>Fulfilled</x:v>
      </x:c>
      <x:c r="H97" s="35" t="n">
        <x:f>COUNTIF($A$5:$A$104,A97)</x:f>
        <x:v>1</x:v>
      </x:c>
      <x:c r="I97" s="35" t="n">
        <x:f>COUNTIF('Products'!$A$5:$A$44,C97)</x:f>
        <x:v>1</x:v>
      </x:c>
      <x:c r="J97" s="45" t="n">
        <x:f>IFERROR(D97*E97,0)</x:f>
        <x:v>79.5</x:v>
      </x:c>
      <x:c r="K97" s="27" t="str">
        <x:f>IF(OR(A97="",B97="",C97="",D97&lt;=0,G97=""),"CHECK","OK")</x:f>
        <x:v>OK</x:v>
      </x:c>
      <x:c r="L97" s="27" t="str">
        <x:f>IF(H97&gt;1,"DUPLICATE",IF(I97=0,"INVALID SKU",IF(K97="CHECK","INCOMPLETE","OK")))</x:f>
        <x:v>OK</x:v>
      </x:c>
    </x:row>
    <x:row r="98">
      <x:c r="A98" s="30" t="str">
        <x:v>ORD-0094</x:v>
      </x:c>
      <x:c r="B98" s="39" t="n">
        <x:v>46244</x:v>
      </x:c>
      <x:c r="C98" s="30" t="str">
        <x:v>SKU-012</x:v>
      </x:c>
      <x:c r="D98" s="34" t="n">
        <x:v>4</x:v>
      </x:c>
      <x:c r="E98" s="45" t="n">
        <x:f>IFERROR(INDEX('Products'!$M$5:$M$44,MATCH(C98,'Products'!$A$5:$A$44,0)),0)</x:f>
        <x:v>13.75</x:v>
      </x:c>
      <x:c r="F98" s="30" t="str">
        <x:v>London</x:v>
      </x:c>
      <x:c r="G98" s="30" t="str">
        <x:v>Processing</x:v>
      </x:c>
      <x:c r="H98" s="35" t="n">
        <x:f>COUNTIF($A$5:$A$104,A98)</x:f>
        <x:v>1</x:v>
      </x:c>
      <x:c r="I98" s="35" t="n">
        <x:f>COUNTIF('Products'!$A$5:$A$44,C98)</x:f>
        <x:v>1</x:v>
      </x:c>
      <x:c r="J98" s="45" t="n">
        <x:f>IFERROR(D98*E98,0)</x:f>
        <x:v>55</x:v>
      </x:c>
      <x:c r="K98" s="27" t="str">
        <x:f>IF(OR(A98="",B98="",C98="",D98&lt;=0,G98=""),"CHECK","OK")</x:f>
        <x:v>OK</x:v>
      </x:c>
      <x:c r="L98" s="27" t="str">
        <x:f>IF(H98&gt;1,"DUPLICATE",IF(I98=0,"INVALID SKU",IF(K98="CHECK","INCOMPLETE","OK")))</x:f>
        <x:v>OK</x:v>
      </x:c>
    </x:row>
    <x:row r="99">
      <x:c r="A99" s="30" t="str">
        <x:v>ORD-0095</x:v>
      </x:c>
      <x:c r="B99" s="39" t="n">
        <x:v>46245</x:v>
      </x:c>
      <x:c r="C99" s="30" t="str">
        <x:v>SKU-019</x:v>
      </x:c>
      <x:c r="D99" s="34" t="n">
        <x:v>5</x:v>
      </x:c>
      <x:c r="E99" s="45" t="n">
        <x:f>IFERROR(INDEX('Products'!$M$5:$M$44,MATCH(C99,'Products'!$A$5:$A$44,0)),0)</x:f>
        <x:v>43.5</x:v>
      </x:c>
      <x:c r="F99" s="30" t="str">
        <x:v>Scotland</x:v>
      </x:c>
      <x:c r="G99" s="30" t="str">
        <x:v>Cancelled</x:v>
      </x:c>
      <x:c r="H99" s="35" t="n">
        <x:f>COUNTIF($A$5:$A$104,A99)</x:f>
        <x:v>1</x:v>
      </x:c>
      <x:c r="I99" s="35" t="n">
        <x:f>COUNTIF('Products'!$A$5:$A$44,C99)</x:f>
        <x:v>1</x:v>
      </x:c>
      <x:c r="J99" s="45" t="n">
        <x:f>IFERROR(D99*E99,0)</x:f>
        <x:v>217.5</x:v>
      </x:c>
      <x:c r="K99" s="27" t="str">
        <x:f>IF(OR(A99="",B99="",C99="",D99&lt;=0,G99=""),"CHECK","OK")</x:f>
        <x:v>OK</x:v>
      </x:c>
      <x:c r="L99" s="27" t="str">
        <x:f>IF(H99&gt;1,"DUPLICATE",IF(I99=0,"INVALID SKU",IF(K99="CHECK","INCOMPLETE","OK")))</x:f>
        <x:v>OK</x:v>
      </x:c>
    </x:row>
    <x:row r="100">
      <x:c r="A100" s="30" t="str">
        <x:v>ORD-0096</x:v>
      </x:c>
      <x:c r="B100" s="39" t="n">
        <x:v>46246</x:v>
      </x:c>
      <x:c r="C100" s="30" t="str">
        <x:v>SKU-026</x:v>
      </x:c>
      <x:c r="D100" s="34" t="n">
        <x:v>6</x:v>
      </x:c>
      <x:c r="E100" s="45" t="n">
        <x:f>IFERROR(INDEX('Products'!$M$5:$M$44,MATCH(C100,'Products'!$A$5:$A$44,0)),0)</x:f>
        <x:v>30.75</x:v>
      </x:c>
      <x:c r="F100" s="30" t="str">
        <x:v>North West</x:v>
      </x:c>
      <x:c r="G100" s="30" t="str">
        <x:v>Fulfilled</x:v>
      </x:c>
      <x:c r="H100" s="35" t="n">
        <x:f>COUNTIF($A$5:$A$104,A100)</x:f>
        <x:v>1</x:v>
      </x:c>
      <x:c r="I100" s="35" t="n">
        <x:f>COUNTIF('Products'!$A$5:$A$44,C100)</x:f>
        <x:v>1</x:v>
      </x:c>
      <x:c r="J100" s="45" t="n">
        <x:f>IFERROR(D100*E100,0)</x:f>
        <x:v>184.5</x:v>
      </x:c>
      <x:c r="K100" s="27" t="str">
        <x:f>IF(OR(A100="",B100="",C100="",D100&lt;=0,G100=""),"CHECK","OK")</x:f>
        <x:v>OK</x:v>
      </x:c>
      <x:c r="L100" s="27" t="str">
        <x:f>IF(H100&gt;1,"DUPLICATE",IF(I100=0,"INVALID SKU",IF(K100="CHECK","INCOMPLETE","OK")))</x:f>
        <x:v>OK</x:v>
      </x:c>
    </x:row>
    <x:row r="101">
      <x:c r="A101" s="30" t="str">
        <x:v>ORD-0097</x:v>
      </x:c>
      <x:c r="B101" s="39" t="n">
        <x:v>46247</x:v>
      </x:c>
      <x:c r="C101" s="30" t="str">
        <x:v>SKU-033</x:v>
      </x:c>
      <x:c r="D101" s="34" t="n">
        <x:v>1</x:v>
      </x:c>
      <x:c r="E101" s="45" t="n">
        <x:f>IFERROR(INDEX('Products'!$M$5:$M$44,MATCH(C101,'Products'!$A$5:$A$44,0)),0)</x:f>
        <x:v>18</x:v>
      </x:c>
      <x:c r="F101" s="30" t="str">
        <x:v>Yorkshire</x:v>
      </x:c>
      <x:c r="G101" s="30" t="str">
        <x:v>Fulfilled</x:v>
      </x:c>
      <x:c r="H101" s="35" t="n">
        <x:f>COUNTIF($A$5:$A$104,A101)</x:f>
        <x:v>1</x:v>
      </x:c>
      <x:c r="I101" s="35" t="n">
        <x:f>COUNTIF('Products'!$A$5:$A$44,C101)</x:f>
        <x:v>1</x:v>
      </x:c>
      <x:c r="J101" s="45" t="n">
        <x:f>IFERROR(D101*E101,0)</x:f>
        <x:v>18</x:v>
      </x:c>
      <x:c r="K101" s="27" t="str">
        <x:f>IF(OR(A101="",B101="",C101="",D101&lt;=0,G101=""),"CHECK","OK")</x:f>
        <x:v>OK</x:v>
      </x:c>
      <x:c r="L101" s="27" t="str">
        <x:f>IF(H101&gt;1,"DUPLICATE",IF(I101=0,"INVALID SKU",IF(K101="CHECK","INCOMPLETE","OK")))</x:f>
        <x:v>OK</x:v>
      </x:c>
    </x:row>
    <x:row r="102">
      <x:c r="A102" s="30" t="str">
        <x:v>ORD-0098</x:v>
      </x:c>
      <x:c r="B102" s="39" t="n">
        <x:v>46248</x:v>
      </x:c>
      <x:c r="C102" s="30" t="str">
        <x:v>SKU-040</x:v>
      </x:c>
      <x:c r="D102" s="34" t="n">
        <x:v>2</x:v>
      </x:c>
      <x:c r="E102" s="45" t="n">
        <x:f>IFERROR(INDEX('Products'!$M$5:$M$44,MATCH(C102,'Products'!$A$5:$A$44,0)),0)</x:f>
        <x:v>47.75</x:v>
      </x:c>
      <x:c r="F102" s="30" t="str">
        <x:v>Midlands</x:v>
      </x:c>
      <x:c r="G102" s="30" t="str">
        <x:v>Fulfilled</x:v>
      </x:c>
      <x:c r="H102" s="35" t="n">
        <x:f>COUNTIF($A$5:$A$104,A102)</x:f>
        <x:v>1</x:v>
      </x:c>
      <x:c r="I102" s="35" t="n">
        <x:f>COUNTIF('Products'!$A$5:$A$44,C102)</x:f>
        <x:v>1</x:v>
      </x:c>
      <x:c r="J102" s="45" t="n">
        <x:f>IFERROR(D102*E102,0)</x:f>
        <x:v>95.5</x:v>
      </x:c>
      <x:c r="K102" s="27" t="str">
        <x:f>IF(OR(A102="",B102="",C102="",D102&lt;=0,G102=""),"CHECK","OK")</x:f>
        <x:v>OK</x:v>
      </x:c>
      <x:c r="L102" s="27" t="str">
        <x:f>IF(H102&gt;1,"DUPLICATE",IF(I102=0,"INVALID SKU",IF(K102="CHECK","INCOMPLETE","OK")))</x:f>
        <x:v>OK</x:v>
      </x:c>
    </x:row>
    <x:row r="103">
      <x:c r="A103" s="30" t="str">
        <x:v>ORD-0099</x:v>
      </x:c>
      <x:c r="B103" s="39" t="n">
        <x:v>46249</x:v>
      </x:c>
      <x:c r="C103" s="30" t="str">
        <x:v>SKU-007</x:v>
      </x:c>
      <x:c r="D103" s="34" t="n">
        <x:v>3</x:v>
      </x:c>
      <x:c r="E103" s="45" t="n">
        <x:f>IFERROR(INDEX('Products'!$M$5:$M$44,MATCH(C103,'Products'!$A$5:$A$44,0)),0)</x:f>
        <x:v>35</x:v>
      </x:c>
      <x:c r="F103" s="30" t="str">
        <x:v>London</x:v>
      </x:c>
      <x:c r="G103" s="30" t="str">
        <x:v>Processing</x:v>
      </x:c>
      <x:c r="H103" s="35" t="n">
        <x:f>COUNTIF($A$5:$A$104,A103)</x:f>
        <x:v>1</x:v>
      </x:c>
      <x:c r="I103" s="35" t="n">
        <x:f>COUNTIF('Products'!$A$5:$A$44,C103)</x:f>
        <x:v>1</x:v>
      </x:c>
      <x:c r="J103" s="45" t="n">
        <x:f>IFERROR(D103*E103,0)</x:f>
        <x:v>105</x:v>
      </x:c>
      <x:c r="K103" s="27" t="str">
        <x:f>IF(OR(A103="",B103="",C103="",D103&lt;=0,G103=""),"CHECK","OK")</x:f>
        <x:v>OK</x:v>
      </x:c>
      <x:c r="L103" s="27" t="str">
        <x:f>IF(H103&gt;1,"DUPLICATE",IF(I103=0,"INVALID SKU",IF(K103="CHECK","INCOMPLETE","OK")))</x:f>
        <x:v>OK</x:v>
      </x:c>
    </x:row>
    <x:row r="104">
      <x:c r="A104" s="31" t="str">
        <x:v>ORD-0100</x:v>
      </x:c>
      <x:c r="B104" s="40" t="n">
        <x:v>46250</x:v>
      </x:c>
      <x:c r="C104" s="31" t="str">
        <x:v>SKU-014</x:v>
      </x:c>
      <x:c r="D104" s="36" t="n">
        <x:v>4</x:v>
      </x:c>
      <x:c r="E104" s="46" t="n">
        <x:f>IFERROR(INDEX('Products'!$M$5:$M$44,MATCH(C104,'Products'!$A$5:$A$44,0)),0)</x:f>
        <x:v>22.25</x:v>
      </x:c>
      <x:c r="F104" s="31" t="str">
        <x:v>Scotland</x:v>
      </x:c>
      <x:c r="G104" s="31" t="str">
        <x:v>Cancelled</x:v>
      </x:c>
      <x:c r="H104" s="37" t="n">
        <x:f>COUNTIF($A$5:$A$104,A104)</x:f>
        <x:v>1</x:v>
      </x:c>
      <x:c r="I104" s="37" t="n">
        <x:f>COUNTIF('Products'!$A$5:$A$44,C104)</x:f>
        <x:v>1</x:v>
      </x:c>
      <x:c r="J104" s="46" t="n">
        <x:f>IFERROR(D104*E104,0)</x:f>
        <x:v>89</x:v>
      </x:c>
      <x:c r="K104" s="28" t="str">
        <x:f>IF(OR(A104="",B104="",C104="",D104&lt;=0,G104=""),"CHECK","OK")</x:f>
        <x:v>OK</x:v>
      </x:c>
      <x:c r="L104" s="28" t="str">
        <x:f>IF(H104&gt;1,"DUPLICATE",IF(I104=0,"INVALID SKU",IF(K104="CHECK","INCOMPLETE","OK")))</x:f>
        <x:v>OK</x:v>
      </x:c>
    </x:row>
  </x:sheetData>
  <x:mergeCells>
    <x:mergeCell ref="A1:L1"/>
    <x:mergeCell ref="A2:L2"/>
  </x:mergeCells>
  <x:conditionalFormatting sqref="L5:L104">
    <x:cfRule type="containsText" dxfId="4" priority="1" operator="containsText" text="OK"/>
    <x:cfRule type="containsText" dxfId="5" priority="2" operator="containsText" text="DUPLICATE"/>
    <x:cfRule type="containsText" dxfId="6" priority="3" operator="containsText" text="INVALID SKU"/>
    <x:cfRule type="containsText" dxfId="7" priority="4" operator="containsText" text="INCOMPLETE"/>
  </x:conditionalFormatting>
  <x:dataValidations count="2">
    <x:dataValidation type="list" sqref="F5:F104">
      <x:formula1>"North West,Yorkshire,Midlands,London,Scotland"</x:formula1>
    </x:dataValidation>
    <x:dataValidation type="list" sqref="G5:G104">
      <x:formula1>"Fulfilled,Processing,Cancelled"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09f049054d43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6" hidden="0" customWidth="1"/>
    <x:col min="4" max="4" width="18" hidden="0" customWidth="1"/>
    <x:col min="5" max="5" width="42" hidden="0" customWidth="1"/>
  </x:cols>
  <x:sheetData>
    <x:row r="1" ht="34" customHeight="1">
      <x:c r="A1" s="4" t="str">
        <x:v>Exception Log and Investigation Queue</x:v>
      </x:c>
      <x:c r="B1" s="4" t="str">
        <x:v>Exception Log and Investigation Queue</x:v>
      </x:c>
      <x:c r="C1" s="4" t="str">
        <x:v>Exception Log and Investigation Queue</x:v>
      </x:c>
      <x:c r="D1" s="4" t="str">
        <x:v>Exception Log and Investigation Queue</x:v>
      </x:c>
      <x:c r="E1" s="4" t="str">
        <x:v>Exception Log and Investigation Queue</x:v>
      </x:c>
    </x:row>
    <x:row r="2">
      <x:c r="A2" s="6" t="str">
        <x:v>Formula-linked exceptions from the order and stock controls. All records and values are synthetic.</x:v>
      </x:c>
      <x:c r="B2" s="6" t="str">
        <x:v>Formula-linked exceptions from the order and stock controls. All records and values are synthetic.</x:v>
      </x:c>
      <x:c r="C2" s="6" t="str">
        <x:v>Formula-linked exceptions from the order and stock controls. All records and values are synthetic.</x:v>
      </x:c>
      <x:c r="D2" s="6" t="str">
        <x:v>Formula-linked exceptions from the order and stock controls. All records and values are synthetic.</x:v>
      </x:c>
      <x:c r="E2" s="6" t="str">
        <x:v>Formula-linked exceptions from the order and stock controls. All records and values are synthetic.</x:v>
      </x:c>
    </x:row>
    <x:row r="4" ht="30" customHeight="1">
      <x:c r="A4" s="19" t="str">
        <x:v>Control</x:v>
      </x:c>
      <x:c r="B4" s="20" t="str">
        <x:v>Formula Result</x:v>
      </x:c>
      <x:c r="C4" s="20" t="str">
        <x:v>Expected</x:v>
      </x:c>
      <x:c r="D4" s="21" t="str">
        <x:v>Status</x:v>
      </x:c>
    </x:row>
    <x:row r="5">
      <x:c r="A5" s="26" t="str">
        <x:v>Order exceptions</x:v>
      </x:c>
      <x:c r="B5" s="26" t="n">
        <x:f>COUNTIF('Orders'!$L$5:$L$104,"&lt;&gt;OK")</x:f>
        <x:v>5</x:v>
      </x:c>
      <x:c r="C5" s="26" t="n">
        <x:v>0</x:v>
      </x:c>
      <x:c r="D5" s="26" t="str">
        <x:f>IF(B5=C5,"PASS","REVIEW")</x:f>
        <x:v>REVIEW</x:v>
      </x:c>
    </x:row>
    <x:row r="6">
      <x:c r="A6" s="27" t="str">
        <x:v>Stock variances</x:v>
      </x:c>
      <x:c r="B6" s="27" t="n">
        <x:f>COUNTIF('Products'!$J$5:$J$44,"&lt;&gt;0")</x:f>
        <x:v>5</x:v>
      </x:c>
      <x:c r="C6" s="27" t="n">
        <x:v>0</x:v>
      </x:c>
      <x:c r="D6" s="27" t="str">
        <x:f>IF(B6=C6,"PASS","REVIEW")</x:f>
        <x:v>REVIEW</x:v>
      </x:c>
    </x:row>
    <x:row r="7">
      <x:c r="A7" s="28" t="str">
        <x:v>All exceptions</x:v>
      </x:c>
      <x:c r="B7" s="28" t="n">
        <x:f>B5+B6</x:f>
        <x:v>10</x:v>
      </x:c>
      <x:c r="C7" s="28" t="n">
        <x:v>0</x:v>
      </x:c>
      <x:c r="D7" s="28" t="str">
        <x:f>IF(B7=C7,"PASS","REVIEW")</x:f>
        <x:v>REVIEW</x:v>
      </x:c>
    </x:row>
    <x:row r="9" ht="30" customHeight="1">
      <x:c r="A9" s="19" t="str">
        <x:v>Source</x:v>
      </x:c>
      <x:c r="B9" s="20" t="str">
        <x:v>Record</x:v>
      </x:c>
      <x:c r="C9" s="20" t="str">
        <x:v>Issue</x:v>
      </x:c>
      <x:c r="D9" s="20" t="str">
        <x:v>Variance / Value</x:v>
      </x:c>
      <x:c r="E9" s="21" t="str">
        <x:v>Recommended Action</x:v>
      </x:c>
    </x:row>
    <x:row r="10">
      <x:c r="A10" s="26" t="str">
        <x:v>Orders</x:v>
      </x:c>
      <x:c r="B10" s="26" t="str">
        <x:f>'Orders'!A18</x:f>
        <x:v>ORD-0014</x:v>
      </x:c>
      <x:c r="C10" s="26" t="str">
        <x:f>'Orders'!L18</x:f>
        <x:v>DUPLICATE</x:v>
      </x:c>
      <x:c r="D10" s="26" t="str">
        <x:f>'Orders'!C18</x:f>
        <x:v>SKU-012</x:v>
      </x:c>
      <x:c r="E10" s="48" t="str">
        <x:v>Verify and correct the source record before reporting.</x:v>
      </x:c>
    </x:row>
    <x:row r="11">
      <x:c r="A11" s="27" t="str">
        <x:v>Orders</x:v>
      </x:c>
      <x:c r="B11" s="27" t="str">
        <x:f>'Orders'!A19</x:f>
        <x:v>ORD-0014</x:v>
      </x:c>
      <x:c r="C11" s="27" t="str">
        <x:f>'Orders'!L19</x:f>
        <x:v>DUPLICATE</x:v>
      </x:c>
      <x:c r="D11" s="27" t="str">
        <x:f>'Orders'!C19</x:f>
        <x:v>SKU-019</x:v>
      </x:c>
      <x:c r="E11" s="49" t="str">
        <x:v>Verify and correct the source record before reporting.</x:v>
      </x:c>
    </x:row>
    <x:row r="12">
      <x:c r="A12" s="27" t="str">
        <x:v>Orders</x:v>
      </x:c>
      <x:c r="B12" s="27" t="str">
        <x:f>'Orders'!A29</x:f>
        <x:v>ORD-0025</x:v>
      </x:c>
      <x:c r="C12" s="27" t="str">
        <x:f>'Orders'!L29</x:f>
        <x:v>INVALID SKU</x:v>
      </x:c>
      <x:c r="D12" s="27" t="str">
        <x:f>'Orders'!C29</x:f>
        <x:v>SKU-999</x:v>
      </x:c>
      <x:c r="E12" s="49" t="str">
        <x:v>Verify and correct the source record before reporting.</x:v>
      </x:c>
    </x:row>
    <x:row r="13">
      <x:c r="A13" s="27" t="str">
        <x:v>Orders</x:v>
      </x:c>
      <x:c r="B13" s="27" t="str">
        <x:f>'Orders'!A44</x:f>
        <x:v>ORD-0040</x:v>
      </x:c>
      <x:c r="C13" s="27" t="str">
        <x:f>'Orders'!L44</x:f>
        <x:v>INCOMPLETE</x:v>
      </x:c>
      <x:c r="D13" s="27" t="str">
        <x:f>'Orders'!C44</x:f>
        <x:v>SKU-034</x:v>
      </x:c>
      <x:c r="E13" s="49" t="str">
        <x:v>Verify and correct the source record before reporting.</x:v>
      </x:c>
    </x:row>
    <x:row r="14">
      <x:c r="A14" s="27" t="str">
        <x:v>Orders</x:v>
      </x:c>
      <x:c r="B14" s="27" t="str">
        <x:f>'Orders'!A59</x:f>
        <x:v>ORD-0055</x:v>
      </x:c>
      <x:c r="C14" s="27" t="str">
        <x:f>'Orders'!L59</x:f>
        <x:v>INCOMPLETE</x:v>
      </x:c>
      <x:c r="D14" s="27" t="str">
        <x:f>'Orders'!C59</x:f>
        <x:v>SKU-019</x:v>
      </x:c>
      <x:c r="E14" s="49" t="str">
        <x:v>Verify and correct the source record before reporting.</x:v>
      </x:c>
    </x:row>
    <x:row r="15">
      <x:c r="A15" s="27" t="str">
        <x:v>Products</x:v>
      </x:c>
      <x:c r="B15" s="27" t="str">
        <x:f>'Products'!A7</x:f>
        <x:v>SKU-003</x:v>
      </x:c>
      <x:c r="C15" s="27" t="str">
        <x:f>'Products'!K7</x:f>
        <x:v>INVESTIGATE</x:v>
      </x:c>
      <x:c r="D15" s="27" t="n">
        <x:f>'Products'!J7</x:f>
        <x:v>3</x:v>
      </x:c>
      <x:c r="E15" s="49" t="str">
        <x:f>IF(D15&gt;0,"Check unrecorded receipt or adjustment","Check unrecorded dispatch or damage")</x:f>
        <x:v>Check unrecorded receipt or adjustment</x:v>
      </x:c>
    </x:row>
    <x:row r="16">
      <x:c r="A16" s="27" t="str">
        <x:v>Products</x:v>
      </x:c>
      <x:c r="B16" s="27" t="str">
        <x:f>'Products'!A12</x:f>
        <x:v>SKU-008</x:v>
      </x:c>
      <x:c r="C16" s="27" t="str">
        <x:f>'Products'!K12</x:f>
        <x:v>INVESTIGATE</x:v>
      </x:c>
      <x:c r="D16" s="27" t="n">
        <x:f>'Products'!J12</x:f>
        <x:v>-4</x:v>
      </x:c>
      <x:c r="E16" s="49" t="str">
        <x:f>IF(D16&gt;0,"Check unrecorded receipt or adjustment","Check unrecorded dispatch or damage")</x:f>
        <x:v>Check unrecorded dispatch or damage</x:v>
      </x:c>
    </x:row>
    <x:row r="17">
      <x:c r="A17" s="27" t="str">
        <x:v>Products</x:v>
      </x:c>
      <x:c r="B17" s="27" t="str">
        <x:f>'Products'!A23</x:f>
        <x:v>SKU-019</x:v>
      </x:c>
      <x:c r="C17" s="27" t="str">
        <x:f>'Products'!K23</x:f>
        <x:v>INVESTIGATE</x:v>
      </x:c>
      <x:c r="D17" s="27" t="n">
        <x:f>'Products'!J23</x:f>
        <x:v>6</x:v>
      </x:c>
      <x:c r="E17" s="49" t="str">
        <x:f>IF(D17&gt;0,"Check unrecorded receipt or adjustment","Check unrecorded dispatch or damage")</x:f>
        <x:v>Check unrecorded receipt or adjustment</x:v>
      </x:c>
    </x:row>
    <x:row r="18">
      <x:c r="A18" s="27" t="str">
        <x:v>Products</x:v>
      </x:c>
      <x:c r="B18" s="27" t="str">
        <x:f>'Products'!A32</x:f>
        <x:v>SKU-028</x:v>
      </x:c>
      <x:c r="C18" s="27" t="str">
        <x:f>'Products'!K32</x:f>
        <x:v>INVESTIGATE</x:v>
      </x:c>
      <x:c r="D18" s="27" t="n">
        <x:f>'Products'!J32</x:f>
        <x:v>-2</x:v>
      </x:c>
      <x:c r="E18" s="49" t="str">
        <x:f>IF(D18&gt;0,"Check unrecorded receipt or adjustment","Check unrecorded dispatch or damage")</x:f>
        <x:v>Check unrecorded dispatch or damage</x:v>
      </x:c>
    </x:row>
    <x:row r="19">
      <x:c r="A19" s="28" t="str">
        <x:v>Products</x:v>
      </x:c>
      <x:c r="B19" s="28" t="str">
        <x:f>'Products'!A40</x:f>
        <x:v>SKU-036</x:v>
      </x:c>
      <x:c r="C19" s="28" t="str">
        <x:f>'Products'!K40</x:f>
        <x:v>INVESTIGATE</x:v>
      </x:c>
      <x:c r="D19" s="28" t="n">
        <x:f>'Products'!J40</x:f>
        <x:v>5</x:v>
      </x:c>
      <x:c r="E19" s="50" t="str">
        <x:f>IF(D19&gt;0,"Check unrecorded receipt or adjustment","Check unrecorded dispatch or damage")</x:f>
        <x:v>Check unrecorded receipt or adjustment</x:v>
      </x:c>
    </x:row>
  </x:sheetData>
  <x:mergeCells>
    <x:mergeCell ref="A1:E1"/>
    <x:mergeCell ref="A2:E2"/>
  </x:mergeCells>
  <x:conditionalFormatting sqref="D5:D7">
    <x:cfRule type="containsText" dxfId="8" priority="1" operator="containsText" text="PASS"/>
    <x:cfRule type="containsText" dxfId="9" priority="2" operator="containsText" text="REVIEW"/>
  </x:conditionalFormatting>
  <x:conditionalFormatting sqref="C10:C19">
    <x:cfRule type="notContainsText" dxfId="10" priority="3" text="OK"/>
  </x:conditionalFormatting>
  <x:pageMargins left="0.7" right="0.7" top="0.75" bottom="0.75" header="0.3" footer="0.3"/>
  <x:tableParts count="1">
    <x:tablePart xmlns:r="http://schemas.openxmlformats.org/officeDocument/2006/relationships" r:id="R1f4ca6f5205c4ced"/>
  </x:tableParts>
</x:worksheet>
</file>